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catap\Documents\Script Sports Bet\"/>
    </mc:Choice>
  </mc:AlternateContent>
  <xr:revisionPtr revIDLastSave="0" documentId="13_ncr:1_{6B1148A1-B1F9-4D2B-B52F-D249D0BC827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J2" i="1"/>
  <c r="I2" i="1"/>
</calcChain>
</file>

<file path=xl/sharedStrings.xml><?xml version="1.0" encoding="utf-8"?>
<sst xmlns="http://schemas.openxmlformats.org/spreadsheetml/2006/main" count="205" uniqueCount="151">
  <si>
    <t>Home</t>
  </si>
  <si>
    <t>Away</t>
  </si>
  <si>
    <t>League</t>
  </si>
  <si>
    <t>Country</t>
  </si>
  <si>
    <t>Time</t>
  </si>
  <si>
    <t>Inhulets</t>
  </si>
  <si>
    <t>Karpaty</t>
  </si>
  <si>
    <t>Premier League</t>
  </si>
  <si>
    <t>Ukraine</t>
  </si>
  <si>
    <t>07:30</t>
  </si>
  <si>
    <t>Napredak</t>
  </si>
  <si>
    <t>Tekstilac Odžaci</t>
  </si>
  <si>
    <t>Super Liga</t>
  </si>
  <si>
    <t>Serbia</t>
  </si>
  <si>
    <t>09:00</t>
  </si>
  <si>
    <t>FC Botosani</t>
  </si>
  <si>
    <t>Oţelul</t>
  </si>
  <si>
    <t>Liga I</t>
  </si>
  <si>
    <t>Romania</t>
  </si>
  <si>
    <t>09:30</t>
  </si>
  <si>
    <t>NK Domzale</t>
  </si>
  <si>
    <t>Radomlje</t>
  </si>
  <si>
    <t>1. SNL</t>
  </si>
  <si>
    <t>Slovenia</t>
  </si>
  <si>
    <t>10:30</t>
  </si>
  <si>
    <t>Železničar Pančevo</t>
  </si>
  <si>
    <t>Jedinstvo Ub</t>
  </si>
  <si>
    <t>11:00</t>
  </si>
  <si>
    <t>Eyüpspor</t>
  </si>
  <si>
    <t>Adana Demirspor</t>
  </si>
  <si>
    <t>Süper Lig</t>
  </si>
  <si>
    <t>Turkey</t>
  </si>
  <si>
    <t>12:00</t>
  </si>
  <si>
    <t>Halmstad</t>
  </si>
  <si>
    <t>Osters IF</t>
  </si>
  <si>
    <t>Allsvenskan</t>
  </si>
  <si>
    <t>Sweden</t>
  </si>
  <si>
    <t>Sonderjyske</t>
  </si>
  <si>
    <t>Vejle</t>
  </si>
  <si>
    <t>Superliga</t>
  </si>
  <si>
    <t>Denmark</t>
  </si>
  <si>
    <t>Moghreb Tetouan</t>
  </si>
  <si>
    <t>Ittihad Tanger</t>
  </si>
  <si>
    <t>Botola Pro</t>
  </si>
  <si>
    <t>Morocco</t>
  </si>
  <si>
    <t>AIK Stockholm</t>
  </si>
  <si>
    <t>Malmo FF</t>
  </si>
  <si>
    <t>12:10</t>
  </si>
  <si>
    <t>CFR 1907 Cluj</t>
  </si>
  <si>
    <t>Rapid</t>
  </si>
  <si>
    <t>12:30</t>
  </si>
  <si>
    <t>Huesca</t>
  </si>
  <si>
    <t>Malaga</t>
  </si>
  <si>
    <t>Segunda División</t>
  </si>
  <si>
    <t>Spain</t>
  </si>
  <si>
    <t>13:30</t>
  </si>
  <si>
    <t>Aldosivi</t>
  </si>
  <si>
    <t>Racing Club</t>
  </si>
  <si>
    <t>Liga Profesional Argentina</t>
  </si>
  <si>
    <t>Argentina</t>
  </si>
  <si>
    <t>Racing Montevideo</t>
  </si>
  <si>
    <t>Liverpool Montevideo</t>
  </si>
  <si>
    <t>Primera División - Apertura</t>
  </si>
  <si>
    <t>Uruguay</t>
  </si>
  <si>
    <t>Bastia</t>
  </si>
  <si>
    <t>Laval</t>
  </si>
  <si>
    <t>Ligue 2</t>
  </si>
  <si>
    <t>France</t>
  </si>
  <si>
    <t>13:45</t>
  </si>
  <si>
    <t>Napoli</t>
  </si>
  <si>
    <t>Empoli</t>
  </si>
  <si>
    <t>Serie A</t>
  </si>
  <si>
    <t>Italy</t>
  </si>
  <si>
    <t>Bournemouth</t>
  </si>
  <si>
    <t>Fulham</t>
  </si>
  <si>
    <t>England</t>
  </si>
  <si>
    <t>14:00</t>
  </si>
  <si>
    <t>Atletico Madrid</t>
  </si>
  <si>
    <t>Valladolid</t>
  </si>
  <si>
    <t>La Liga</t>
  </si>
  <si>
    <t>Hull City</t>
  </si>
  <si>
    <t>Coventry</t>
  </si>
  <si>
    <t>Championship</t>
  </si>
  <si>
    <t>Depor FC</t>
  </si>
  <si>
    <t>Real Santander</t>
  </si>
  <si>
    <t>Primera B</t>
  </si>
  <si>
    <t>Colombia</t>
  </si>
  <si>
    <t>Mushuc Runa SC</t>
  </si>
  <si>
    <t>LDU de Quito</t>
  </si>
  <si>
    <t>Liga Pro</t>
  </si>
  <si>
    <t>Ecuador</t>
  </si>
  <si>
    <t>Palestino</t>
  </si>
  <si>
    <t>Union La Calera</t>
  </si>
  <si>
    <t>Primera División</t>
  </si>
  <si>
    <t>Chile</t>
  </si>
  <si>
    <t>Stjarnan</t>
  </si>
  <si>
    <t>IA Akranes</t>
  </si>
  <si>
    <t>Úrvalsdeild</t>
  </si>
  <si>
    <t>Iceland</t>
  </si>
  <si>
    <t>14:15</t>
  </si>
  <si>
    <t>KR Reykjavik</t>
  </si>
  <si>
    <t>Valur Reykjavik</t>
  </si>
  <si>
    <t>Central Cordoba de Santiago</t>
  </si>
  <si>
    <t>Huracan</t>
  </si>
  <si>
    <t>16:00</t>
  </si>
  <si>
    <t>Tigres FC</t>
  </si>
  <si>
    <t>Popayan</t>
  </si>
  <si>
    <t>Defensor Sporting</t>
  </si>
  <si>
    <t>Cerro</t>
  </si>
  <si>
    <t>Deportivo Recoleta</t>
  </si>
  <si>
    <t>Libertad Asuncion</t>
  </si>
  <si>
    <t>Division Profesional - Apertura</t>
  </si>
  <si>
    <t>Paraguay</t>
  </si>
  <si>
    <t>16:30</t>
  </si>
  <si>
    <t>El Nacional</t>
  </si>
  <si>
    <t>Independiente del Valle</t>
  </si>
  <si>
    <t>Nacional Potosí</t>
  </si>
  <si>
    <t>Guabirá</t>
  </si>
  <si>
    <t>Bolivia</t>
  </si>
  <si>
    <t>Defensa Y Justicia</t>
  </si>
  <si>
    <t>Union Santa Fe</t>
  </si>
  <si>
    <t>17:00</t>
  </si>
  <si>
    <t>Union Espanola</t>
  </si>
  <si>
    <t>Nublense</t>
  </si>
  <si>
    <t>Santa Fe</t>
  </si>
  <si>
    <t>Independiente Medellin</t>
  </si>
  <si>
    <t>Primera A</t>
  </si>
  <si>
    <t>19:00</t>
  </si>
  <si>
    <t>Orense SC</t>
  </si>
  <si>
    <t>Barcelona SC</t>
  </si>
  <si>
    <t>Velez Sarsfield</t>
  </si>
  <si>
    <t>Sarmiento Junin</t>
  </si>
  <si>
    <t>19:15</t>
  </si>
  <si>
    <t>Godoy Cruz</t>
  </si>
  <si>
    <t>Lanus</t>
  </si>
  <si>
    <t>Deportes Limache</t>
  </si>
  <si>
    <t>Deportes Iquique</t>
  </si>
  <si>
    <t>19:30</t>
  </si>
  <si>
    <t>Deportivo Garcilaso</t>
  </si>
  <si>
    <t>Alianza Lima</t>
  </si>
  <si>
    <t>Peru</t>
  </si>
  <si>
    <t>UMECIT</t>
  </si>
  <si>
    <t>Deportivo Universitario</t>
  </si>
  <si>
    <t>Liga Panameña de Fútbol</t>
  </si>
  <si>
    <t>Panama</t>
  </si>
  <si>
    <t>20:30</t>
  </si>
  <si>
    <t>% Home</t>
  </si>
  <si>
    <t>% Away</t>
  </si>
  <si>
    <t>% Draw</t>
  </si>
  <si>
    <t>Win/Draw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</si>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</sst>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2" fontId="3" fillId="0" borderId="1" xfId="0" applyNumberFormat="1" applyFont="1" applyBorder="1" applyAlignment="1">
      <alignment horizontal="center" vertical="top"/>
    </xf>
    <xf numFmtId="9" fontId="3" fillId="0" borderId="2" xfId="1" applyFont="1" applyFill="1" applyBorder="1" applyAlignment="1">
      <alignment horizontal="center" vertical="top"/>
    </xf>
    <xf numFmtId="9" fontId="0" fillId="0" borderId="0" xfId="1" applyFont="1"/>
    <xf numFmtId="0" fontId="0" fillId="0" borderId="0" xfId="0" applyFill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0"/>
  <sheetViews>
    <sheetView tabSelected="1" workbookViewId="0">
      <selection activeCell="H10" sqref="H10"/>
    </sheetView>
  </sheetViews>
  <sheetFormatPr baseColWidth="10" defaultColWidth="8.88671875" defaultRowHeight="14.4" x14ac:dyDescent="0.3"/>
  <cols>
    <col min="1" max="1" width="24.44140625" bestFit="1" customWidth="1"/>
    <col min="2" max="2" width="20.21875" bestFit="1" customWidth="1"/>
    <col min="3" max="3" width="25.88671875" bestFit="1" customWidth="1"/>
    <col min="4" max="4" width="8.77734375" bestFit="1" customWidth="1"/>
    <col min="5" max="5" width="5.55468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146</v>
      </c>
      <c r="G1" s="2" t="s">
        <v>147</v>
      </c>
      <c r="H1" s="2" t="s">
        <v>148</v>
      </c>
      <c r="I1" s="2" t="s">
        <v>149</v>
      </c>
      <c r="J1" s="3" t="s">
        <v>150</v>
      </c>
    </row>
    <row r="2" spans="1:10" x14ac:dyDescent="0.3">
      <c r="A2" t="s">
        <v>5</v>
      </c>
      <c r="B2" t="s">
        <v>6</v>
      </c>
      <c r="C2" t="s">
        <v>7</v>
      </c>
      <c r="D2" t="s">
        <v>8</v>
      </c>
      <c r="E2" t="s">
        <v>9</v>
      </c>
      <c r="F2">
        <v>30</v>
      </c>
      <c r="G2">
        <v>35</v>
      </c>
      <c r="H2">
        <v>35</v>
      </c>
      <c r="I2" s="5" t="str">
        <f t="shared" ref="I2:I40" si="0">IF(F2+H2&lt;G2+H2,"AWAY","HOME")</f>
        <v>AWAY</v>
      </c>
      <c r="J2" s="4">
        <f t="shared" ref="J2:J40" si="1">+IF((F2&gt;G2),(F2+H2)/100,(G2+H2)/100)</f>
        <v>0.7</v>
      </c>
    </row>
    <row r="3" spans="1:10" x14ac:dyDescent="0.3">
      <c r="A3" t="s">
        <v>10</v>
      </c>
      <c r="B3" t="s">
        <v>11</v>
      </c>
      <c r="C3" t="s">
        <v>12</v>
      </c>
      <c r="D3" t="s">
        <v>13</v>
      </c>
      <c r="E3" t="s">
        <v>14</v>
      </c>
      <c r="F3">
        <v>40</v>
      </c>
      <c r="G3">
        <v>25</v>
      </c>
      <c r="H3">
        <v>35</v>
      </c>
      <c r="I3" s="5" t="str">
        <f t="shared" si="0"/>
        <v>HOME</v>
      </c>
      <c r="J3" s="4">
        <f t="shared" si="1"/>
        <v>0.75</v>
      </c>
    </row>
    <row r="4" spans="1:10" x14ac:dyDescent="0.3">
      <c r="A4" t="s">
        <v>15</v>
      </c>
      <c r="B4" t="s">
        <v>16</v>
      </c>
      <c r="C4" t="s">
        <v>17</v>
      </c>
      <c r="D4" t="s">
        <v>18</v>
      </c>
      <c r="E4" t="s">
        <v>19</v>
      </c>
      <c r="F4">
        <v>40</v>
      </c>
      <c r="G4">
        <v>25</v>
      </c>
      <c r="H4">
        <v>35</v>
      </c>
      <c r="I4" s="5" t="str">
        <f t="shared" si="0"/>
        <v>HOME</v>
      </c>
      <c r="J4" s="4">
        <f t="shared" si="1"/>
        <v>0.75</v>
      </c>
    </row>
    <row r="5" spans="1:10" x14ac:dyDescent="0.3">
      <c r="A5" t="s">
        <v>20</v>
      </c>
      <c r="B5" t="s">
        <v>21</v>
      </c>
      <c r="C5" t="s">
        <v>22</v>
      </c>
      <c r="D5" t="s">
        <v>23</v>
      </c>
      <c r="E5" t="s">
        <v>24</v>
      </c>
      <c r="F5">
        <v>35</v>
      </c>
      <c r="G5">
        <v>30</v>
      </c>
      <c r="H5">
        <v>35</v>
      </c>
      <c r="I5" s="5" t="str">
        <f t="shared" si="0"/>
        <v>HOME</v>
      </c>
      <c r="J5" s="4">
        <f t="shared" si="1"/>
        <v>0.7</v>
      </c>
    </row>
    <row r="6" spans="1:10" x14ac:dyDescent="0.3">
      <c r="A6" t="s">
        <v>25</v>
      </c>
      <c r="B6" t="s">
        <v>26</v>
      </c>
      <c r="C6" t="s">
        <v>12</v>
      </c>
      <c r="D6" t="s">
        <v>13</v>
      </c>
      <c r="E6" t="s">
        <v>27</v>
      </c>
      <c r="F6">
        <v>60</v>
      </c>
      <c r="G6">
        <v>15</v>
      </c>
      <c r="H6">
        <v>25</v>
      </c>
      <c r="I6" s="5" t="str">
        <f t="shared" si="0"/>
        <v>HOME</v>
      </c>
      <c r="J6" s="4">
        <f t="shared" si="1"/>
        <v>0.85</v>
      </c>
    </row>
    <row r="7" spans="1:10" x14ac:dyDescent="0.3">
      <c r="A7" t="s">
        <v>28</v>
      </c>
      <c r="B7" t="s">
        <v>29</v>
      </c>
      <c r="C7" t="s">
        <v>30</v>
      </c>
      <c r="D7" t="s">
        <v>31</v>
      </c>
      <c r="E7" t="s">
        <v>32</v>
      </c>
      <c r="I7" s="5" t="str">
        <f t="shared" si="0"/>
        <v>HOME</v>
      </c>
      <c r="J7" s="4">
        <f t="shared" si="1"/>
        <v>0</v>
      </c>
    </row>
    <row r="8" spans="1:10" x14ac:dyDescent="0.3">
      <c r="A8" t="s">
        <v>33</v>
      </c>
      <c r="B8" t="s">
        <v>34</v>
      </c>
      <c r="C8" t="s">
        <v>35</v>
      </c>
      <c r="D8" t="s">
        <v>36</v>
      </c>
      <c r="E8" t="s">
        <v>32</v>
      </c>
      <c r="I8" s="5" t="str">
        <f t="shared" si="0"/>
        <v>HOME</v>
      </c>
      <c r="J8" s="4">
        <f t="shared" si="1"/>
        <v>0</v>
      </c>
    </row>
    <row r="9" spans="1:10" x14ac:dyDescent="0.3">
      <c r="A9" t="s">
        <v>37</v>
      </c>
      <c r="B9" t="s">
        <v>38</v>
      </c>
      <c r="C9" t="s">
        <v>39</v>
      </c>
      <c r="D9" t="s">
        <v>40</v>
      </c>
      <c r="E9" t="s">
        <v>32</v>
      </c>
      <c r="I9" s="5" t="str">
        <f t="shared" si="0"/>
        <v>HOME</v>
      </c>
      <c r="J9" s="4">
        <f t="shared" si="1"/>
        <v>0</v>
      </c>
    </row>
    <row r="10" spans="1:10" x14ac:dyDescent="0.3">
      <c r="A10" t="s">
        <v>41</v>
      </c>
      <c r="B10" t="s">
        <v>42</v>
      </c>
      <c r="C10" t="s">
        <v>43</v>
      </c>
      <c r="D10" t="s">
        <v>44</v>
      </c>
      <c r="E10" t="s">
        <v>32</v>
      </c>
      <c r="I10" s="5" t="str">
        <f t="shared" si="0"/>
        <v>HOME</v>
      </c>
      <c r="J10" s="4">
        <f t="shared" si="1"/>
        <v>0</v>
      </c>
    </row>
    <row r="11" spans="1:10" x14ac:dyDescent="0.3">
      <c r="A11" t="s">
        <v>45</v>
      </c>
      <c r="B11" t="s">
        <v>46</v>
      </c>
      <c r="C11" t="s">
        <v>35</v>
      </c>
      <c r="D11" t="s">
        <v>36</v>
      </c>
      <c r="E11" t="s">
        <v>47</v>
      </c>
      <c r="I11" s="5" t="str">
        <f t="shared" si="0"/>
        <v>HOME</v>
      </c>
      <c r="J11" s="4">
        <f t="shared" si="1"/>
        <v>0</v>
      </c>
    </row>
    <row r="12" spans="1:10" x14ac:dyDescent="0.3">
      <c r="A12" t="s">
        <v>48</v>
      </c>
      <c r="B12" t="s">
        <v>49</v>
      </c>
      <c r="C12" t="s">
        <v>17</v>
      </c>
      <c r="D12" t="s">
        <v>18</v>
      </c>
      <c r="E12" t="s">
        <v>50</v>
      </c>
      <c r="I12" s="5" t="str">
        <f t="shared" si="0"/>
        <v>HOME</v>
      </c>
      <c r="J12" s="4">
        <f t="shared" si="1"/>
        <v>0</v>
      </c>
    </row>
    <row r="13" spans="1:10" x14ac:dyDescent="0.3">
      <c r="A13" t="s">
        <v>51</v>
      </c>
      <c r="B13" t="s">
        <v>52</v>
      </c>
      <c r="C13" t="s">
        <v>53</v>
      </c>
      <c r="D13" t="s">
        <v>54</v>
      </c>
      <c r="E13" t="s">
        <v>55</v>
      </c>
      <c r="I13" s="5" t="str">
        <f t="shared" si="0"/>
        <v>HOME</v>
      </c>
      <c r="J13" s="4">
        <f t="shared" si="1"/>
        <v>0</v>
      </c>
    </row>
    <row r="14" spans="1:10" x14ac:dyDescent="0.3">
      <c r="A14" t="s">
        <v>56</v>
      </c>
      <c r="B14" t="s">
        <v>57</v>
      </c>
      <c r="C14" t="s">
        <v>58</v>
      </c>
      <c r="D14" t="s">
        <v>59</v>
      </c>
      <c r="E14" t="s">
        <v>55</v>
      </c>
      <c r="I14" s="5" t="str">
        <f t="shared" si="0"/>
        <v>HOME</v>
      </c>
      <c r="J14" s="4">
        <f t="shared" si="1"/>
        <v>0</v>
      </c>
    </row>
    <row r="15" spans="1:10" x14ac:dyDescent="0.3">
      <c r="A15" t="s">
        <v>60</v>
      </c>
      <c r="B15" t="s">
        <v>61</v>
      </c>
      <c r="C15" t="s">
        <v>62</v>
      </c>
      <c r="D15" t="s">
        <v>63</v>
      </c>
      <c r="E15" t="s">
        <v>55</v>
      </c>
      <c r="I15" s="5" t="str">
        <f t="shared" si="0"/>
        <v>HOME</v>
      </c>
      <c r="J15" s="4">
        <f t="shared" si="1"/>
        <v>0</v>
      </c>
    </row>
    <row r="16" spans="1:10" x14ac:dyDescent="0.3">
      <c r="A16" t="s">
        <v>64</v>
      </c>
      <c r="B16" t="s">
        <v>65</v>
      </c>
      <c r="C16" t="s">
        <v>66</v>
      </c>
      <c r="D16" t="s">
        <v>67</v>
      </c>
      <c r="E16" t="s">
        <v>68</v>
      </c>
      <c r="I16" s="5" t="str">
        <f t="shared" si="0"/>
        <v>HOME</v>
      </c>
      <c r="J16" s="4">
        <f t="shared" si="1"/>
        <v>0</v>
      </c>
    </row>
    <row r="17" spans="1:10" x14ac:dyDescent="0.3">
      <c r="A17" t="s">
        <v>69</v>
      </c>
      <c r="B17" t="s">
        <v>70</v>
      </c>
      <c r="C17" t="s">
        <v>71</v>
      </c>
      <c r="D17" t="s">
        <v>72</v>
      </c>
      <c r="E17" t="s">
        <v>68</v>
      </c>
      <c r="I17" s="5" t="str">
        <f t="shared" si="0"/>
        <v>HOME</v>
      </c>
      <c r="J17" s="4">
        <f t="shared" si="1"/>
        <v>0</v>
      </c>
    </row>
    <row r="18" spans="1:10" x14ac:dyDescent="0.3">
      <c r="A18" t="s">
        <v>73</v>
      </c>
      <c r="B18" t="s">
        <v>74</v>
      </c>
      <c r="C18" t="s">
        <v>7</v>
      </c>
      <c r="D18" t="s">
        <v>75</v>
      </c>
      <c r="E18" t="s">
        <v>76</v>
      </c>
      <c r="I18" s="5" t="str">
        <f t="shared" si="0"/>
        <v>HOME</v>
      </c>
      <c r="J18" s="4">
        <f t="shared" si="1"/>
        <v>0</v>
      </c>
    </row>
    <row r="19" spans="1:10" x14ac:dyDescent="0.3">
      <c r="A19" t="s">
        <v>77</v>
      </c>
      <c r="B19" t="s">
        <v>78</v>
      </c>
      <c r="C19" t="s">
        <v>79</v>
      </c>
      <c r="D19" t="s">
        <v>54</v>
      </c>
      <c r="E19" t="s">
        <v>76</v>
      </c>
      <c r="I19" s="5" t="str">
        <f t="shared" si="0"/>
        <v>HOME</v>
      </c>
      <c r="J19" s="4">
        <f t="shared" si="1"/>
        <v>0</v>
      </c>
    </row>
    <row r="20" spans="1:10" x14ac:dyDescent="0.3">
      <c r="A20" t="s">
        <v>80</v>
      </c>
      <c r="B20" t="s">
        <v>81</v>
      </c>
      <c r="C20" t="s">
        <v>82</v>
      </c>
      <c r="D20" t="s">
        <v>75</v>
      </c>
      <c r="E20" t="s">
        <v>76</v>
      </c>
      <c r="I20" s="5" t="str">
        <f t="shared" si="0"/>
        <v>HOME</v>
      </c>
      <c r="J20" s="4">
        <f t="shared" si="1"/>
        <v>0</v>
      </c>
    </row>
    <row r="21" spans="1:10" x14ac:dyDescent="0.3">
      <c r="A21" t="s">
        <v>83</v>
      </c>
      <c r="B21" t="s">
        <v>84</v>
      </c>
      <c r="C21" t="s">
        <v>85</v>
      </c>
      <c r="D21" t="s">
        <v>86</v>
      </c>
      <c r="E21" t="s">
        <v>76</v>
      </c>
      <c r="I21" s="5" t="str">
        <f t="shared" si="0"/>
        <v>HOME</v>
      </c>
      <c r="J21" s="4">
        <f t="shared" si="1"/>
        <v>0</v>
      </c>
    </row>
    <row r="22" spans="1:10" x14ac:dyDescent="0.3">
      <c r="A22" t="s">
        <v>87</v>
      </c>
      <c r="B22" t="s">
        <v>88</v>
      </c>
      <c r="C22" t="s">
        <v>89</v>
      </c>
      <c r="D22" t="s">
        <v>90</v>
      </c>
      <c r="E22" t="s">
        <v>76</v>
      </c>
      <c r="I22" s="5" t="str">
        <f t="shared" si="0"/>
        <v>HOME</v>
      </c>
      <c r="J22" s="4">
        <f t="shared" si="1"/>
        <v>0</v>
      </c>
    </row>
    <row r="23" spans="1:10" x14ac:dyDescent="0.3">
      <c r="A23" t="s">
        <v>91</v>
      </c>
      <c r="B23" t="s">
        <v>92</v>
      </c>
      <c r="C23" t="s">
        <v>93</v>
      </c>
      <c r="D23" t="s">
        <v>94</v>
      </c>
      <c r="E23" t="s">
        <v>76</v>
      </c>
      <c r="I23" s="5" t="str">
        <f t="shared" si="0"/>
        <v>HOME</v>
      </c>
      <c r="J23" s="4">
        <f t="shared" si="1"/>
        <v>0</v>
      </c>
    </row>
    <row r="24" spans="1:10" x14ac:dyDescent="0.3">
      <c r="A24" t="s">
        <v>95</v>
      </c>
      <c r="B24" t="s">
        <v>96</v>
      </c>
      <c r="C24" t="s">
        <v>97</v>
      </c>
      <c r="D24" t="s">
        <v>98</v>
      </c>
      <c r="E24" t="s">
        <v>99</v>
      </c>
      <c r="I24" s="5" t="str">
        <f t="shared" si="0"/>
        <v>HOME</v>
      </c>
      <c r="J24" s="4">
        <f t="shared" si="1"/>
        <v>0</v>
      </c>
    </row>
    <row r="25" spans="1:10" x14ac:dyDescent="0.3">
      <c r="A25" t="s">
        <v>100</v>
      </c>
      <c r="B25" t="s">
        <v>101</v>
      </c>
      <c r="C25" t="s">
        <v>97</v>
      </c>
      <c r="D25" t="s">
        <v>98</v>
      </c>
      <c r="E25" t="s">
        <v>99</v>
      </c>
      <c r="I25" s="5" t="str">
        <f t="shared" si="0"/>
        <v>HOME</v>
      </c>
      <c r="J25" s="4">
        <f t="shared" si="1"/>
        <v>0</v>
      </c>
    </row>
    <row r="26" spans="1:10" x14ac:dyDescent="0.3">
      <c r="A26" t="s">
        <v>102</v>
      </c>
      <c r="B26" t="s">
        <v>103</v>
      </c>
      <c r="C26" t="s">
        <v>58</v>
      </c>
      <c r="D26" t="s">
        <v>59</v>
      </c>
      <c r="E26" t="s">
        <v>104</v>
      </c>
      <c r="I26" s="5" t="str">
        <f t="shared" si="0"/>
        <v>HOME</v>
      </c>
      <c r="J26" s="4">
        <f t="shared" si="1"/>
        <v>0</v>
      </c>
    </row>
    <row r="27" spans="1:10" x14ac:dyDescent="0.3">
      <c r="A27" t="s">
        <v>105</v>
      </c>
      <c r="B27" t="s">
        <v>106</v>
      </c>
      <c r="C27" t="s">
        <v>85</v>
      </c>
      <c r="D27" t="s">
        <v>86</v>
      </c>
      <c r="E27" t="s">
        <v>104</v>
      </c>
      <c r="I27" s="5" t="str">
        <f t="shared" si="0"/>
        <v>HOME</v>
      </c>
      <c r="J27" s="4">
        <f t="shared" si="1"/>
        <v>0</v>
      </c>
    </row>
    <row r="28" spans="1:10" x14ac:dyDescent="0.3">
      <c r="A28" t="s">
        <v>107</v>
      </c>
      <c r="B28" t="s">
        <v>108</v>
      </c>
      <c r="C28" t="s">
        <v>62</v>
      </c>
      <c r="D28" t="s">
        <v>63</v>
      </c>
      <c r="E28" t="s">
        <v>104</v>
      </c>
      <c r="I28" s="5" t="str">
        <f t="shared" si="0"/>
        <v>HOME</v>
      </c>
      <c r="J28" s="4">
        <f t="shared" si="1"/>
        <v>0</v>
      </c>
    </row>
    <row r="29" spans="1:10" x14ac:dyDescent="0.3">
      <c r="A29" t="s">
        <v>109</v>
      </c>
      <c r="B29" t="s">
        <v>110</v>
      </c>
      <c r="C29" t="s">
        <v>111</v>
      </c>
      <c r="D29" t="s">
        <v>112</v>
      </c>
      <c r="E29" t="s">
        <v>113</v>
      </c>
      <c r="I29" s="5" t="str">
        <f t="shared" si="0"/>
        <v>HOME</v>
      </c>
      <c r="J29" s="4">
        <f t="shared" si="1"/>
        <v>0</v>
      </c>
    </row>
    <row r="30" spans="1:10" x14ac:dyDescent="0.3">
      <c r="A30" t="s">
        <v>114</v>
      </c>
      <c r="B30" t="s">
        <v>115</v>
      </c>
      <c r="C30" t="s">
        <v>89</v>
      </c>
      <c r="D30" t="s">
        <v>90</v>
      </c>
      <c r="E30" t="s">
        <v>113</v>
      </c>
      <c r="I30" s="5" t="str">
        <f t="shared" si="0"/>
        <v>HOME</v>
      </c>
      <c r="J30" s="4">
        <f t="shared" si="1"/>
        <v>0</v>
      </c>
    </row>
    <row r="31" spans="1:10" x14ac:dyDescent="0.3">
      <c r="A31" t="s">
        <v>116</v>
      </c>
      <c r="B31" t="s">
        <v>117</v>
      </c>
      <c r="C31" t="s">
        <v>93</v>
      </c>
      <c r="D31" t="s">
        <v>118</v>
      </c>
      <c r="E31" t="s">
        <v>113</v>
      </c>
      <c r="I31" s="5" t="str">
        <f t="shared" si="0"/>
        <v>HOME</v>
      </c>
      <c r="J31" s="4">
        <f t="shared" si="1"/>
        <v>0</v>
      </c>
    </row>
    <row r="32" spans="1:10" x14ac:dyDescent="0.3">
      <c r="A32" t="s">
        <v>119</v>
      </c>
      <c r="B32" t="s">
        <v>120</v>
      </c>
      <c r="C32" t="s">
        <v>58</v>
      </c>
      <c r="D32" t="s">
        <v>59</v>
      </c>
      <c r="E32" t="s">
        <v>121</v>
      </c>
      <c r="I32" s="5" t="str">
        <f t="shared" si="0"/>
        <v>HOME</v>
      </c>
      <c r="J32" s="4">
        <f t="shared" si="1"/>
        <v>0</v>
      </c>
    </row>
    <row r="33" spans="1:10" x14ac:dyDescent="0.3">
      <c r="A33" t="s">
        <v>122</v>
      </c>
      <c r="B33" t="s">
        <v>123</v>
      </c>
      <c r="C33" t="s">
        <v>93</v>
      </c>
      <c r="D33" t="s">
        <v>94</v>
      </c>
      <c r="E33" t="s">
        <v>121</v>
      </c>
      <c r="I33" s="5" t="str">
        <f t="shared" si="0"/>
        <v>HOME</v>
      </c>
      <c r="J33" s="4">
        <f t="shared" si="1"/>
        <v>0</v>
      </c>
    </row>
    <row r="34" spans="1:10" x14ac:dyDescent="0.3">
      <c r="A34" t="s">
        <v>124</v>
      </c>
      <c r="B34" t="s">
        <v>125</v>
      </c>
      <c r="C34" t="s">
        <v>126</v>
      </c>
      <c r="D34" t="s">
        <v>86</v>
      </c>
      <c r="E34" t="s">
        <v>127</v>
      </c>
      <c r="I34" s="5" t="str">
        <f t="shared" si="0"/>
        <v>HOME</v>
      </c>
      <c r="J34" s="4">
        <f t="shared" si="1"/>
        <v>0</v>
      </c>
    </row>
    <row r="35" spans="1:10" x14ac:dyDescent="0.3">
      <c r="A35" t="s">
        <v>128</v>
      </c>
      <c r="B35" t="s">
        <v>129</v>
      </c>
      <c r="C35" t="s">
        <v>89</v>
      </c>
      <c r="D35" t="s">
        <v>90</v>
      </c>
      <c r="E35" t="s">
        <v>127</v>
      </c>
      <c r="I35" s="5" t="str">
        <f t="shared" si="0"/>
        <v>HOME</v>
      </c>
      <c r="J35" s="4">
        <f t="shared" si="1"/>
        <v>0</v>
      </c>
    </row>
    <row r="36" spans="1:10" x14ac:dyDescent="0.3">
      <c r="A36" t="s">
        <v>130</v>
      </c>
      <c r="B36" t="s">
        <v>131</v>
      </c>
      <c r="C36" t="s">
        <v>58</v>
      </c>
      <c r="D36" t="s">
        <v>59</v>
      </c>
      <c r="E36" t="s">
        <v>132</v>
      </c>
      <c r="I36" s="5" t="str">
        <f t="shared" si="0"/>
        <v>HOME</v>
      </c>
      <c r="J36" s="4">
        <f t="shared" si="1"/>
        <v>0</v>
      </c>
    </row>
    <row r="37" spans="1:10" x14ac:dyDescent="0.3">
      <c r="A37" t="s">
        <v>133</v>
      </c>
      <c r="B37" t="s">
        <v>134</v>
      </c>
      <c r="C37" t="s">
        <v>58</v>
      </c>
      <c r="D37" t="s">
        <v>59</v>
      </c>
      <c r="E37" t="s">
        <v>132</v>
      </c>
      <c r="I37" s="5" t="str">
        <f t="shared" si="0"/>
        <v>HOME</v>
      </c>
      <c r="J37" s="4">
        <f t="shared" si="1"/>
        <v>0</v>
      </c>
    </row>
    <row r="38" spans="1:10" x14ac:dyDescent="0.3">
      <c r="A38" t="s">
        <v>135</v>
      </c>
      <c r="B38" t="s">
        <v>136</v>
      </c>
      <c r="C38" t="s">
        <v>93</v>
      </c>
      <c r="D38" t="s">
        <v>94</v>
      </c>
      <c r="E38" t="s">
        <v>137</v>
      </c>
      <c r="I38" s="5" t="str">
        <f t="shared" si="0"/>
        <v>HOME</v>
      </c>
      <c r="J38" s="4">
        <f t="shared" si="1"/>
        <v>0</v>
      </c>
    </row>
    <row r="39" spans="1:10" x14ac:dyDescent="0.3">
      <c r="A39" t="s">
        <v>138</v>
      </c>
      <c r="B39" t="s">
        <v>139</v>
      </c>
      <c r="C39" t="s">
        <v>93</v>
      </c>
      <c r="D39" t="s">
        <v>140</v>
      </c>
      <c r="E39" t="s">
        <v>137</v>
      </c>
      <c r="I39" s="5" t="str">
        <f t="shared" si="0"/>
        <v>HOME</v>
      </c>
      <c r="J39" s="4">
        <f t="shared" si="1"/>
        <v>0</v>
      </c>
    </row>
    <row r="40" spans="1:10" x14ac:dyDescent="0.3">
      <c r="A40" t="s">
        <v>141</v>
      </c>
      <c r="B40" t="s">
        <v>142</v>
      </c>
      <c r="C40" t="s">
        <v>143</v>
      </c>
      <c r="D40" t="s">
        <v>144</v>
      </c>
      <c r="E40" t="s">
        <v>145</v>
      </c>
      <c r="I40" s="5" t="str">
        <f t="shared" si="0"/>
        <v>HOME</v>
      </c>
      <c r="J40" s="4">
        <f t="shared" si="1"/>
        <v>0</v>
      </c>
    </row>
  </sheetData>
  <conditionalFormatting sqref="J1:J40">
    <cfRule type="iconSet" priority="1">
      <iconSet>
        <cfvo type="percent" val="0"/>
        <cfvo type="num" val="0.76"/>
        <cfvo type="num" val="0.81"/>
      </iconSet>
    </cfRule>
    <cfRule type="iconSet" priority="2">
      <iconSet>
        <cfvo type="percent" val="0"/>
        <cfvo type="num" val="0.75"/>
        <cfvo type="num" val="0.81"/>
      </iconSet>
    </cfRule>
    <cfRule type="iconSet" priority="3">
      <iconSet>
        <cfvo type="percent" val="0"/>
        <cfvo type="num" val="0.73"/>
        <cfvo type="num" val="0.81"/>
      </iconSet>
    </cfRule>
    <cfRule type="iconSet" priority="4">
      <iconSet>
        <cfvo type="percent" val="0"/>
        <cfvo type="num" val="&quot;0.73&quot;"/>
        <cfvo type="num" val="&quot;0.81&quot;"/>
      </iconSet>
    </cfRule>
    <cfRule type="iconSet" priority="5">
      <iconSet>
        <cfvo type="percent" val="0"/>
        <cfvo type="num" val="73"/>
        <cfvo type="num" val="81"/>
      </iconSet>
    </cfRule>
    <cfRule type="iconSet" priority="6">
      <iconSet>
        <cfvo type="percent" val="0"/>
        <cfvo type="num" val="0.73"/>
        <cfvo type="num" val="0.8"/>
      </iconSet>
    </cfRule>
    <cfRule type="iconSet" priority="7">
      <iconSet>
        <cfvo type="percent" val="0"/>
        <cfvo type="num" val="&quot;0.73&quot;"/>
        <cfvo type="num" val="&quot;0.8&quot;"/>
      </iconSet>
    </cfRule>
    <cfRule type="iconSet" priority="8">
      <iconSet>
        <cfvo type="percent" val="0"/>
        <cfvo type="percent" val="33"/>
        <cfvo type="percent" val="67"/>
      </iconSet>
    </cfRule>
    <cfRule type="colorScale" priority="9">
      <colorScale>
        <cfvo type="min"/>
        <cfvo type="max"/>
        <color rgb="FFFCFCFF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Catalina Paruma Fajardo</cp:lastModifiedBy>
  <dcterms:created xsi:type="dcterms:W3CDTF">2025-04-14T04:25:07Z</dcterms:created>
  <dcterms:modified xsi:type="dcterms:W3CDTF">2025-04-14T05:04:41Z</dcterms:modified>
</cp:coreProperties>
</file>