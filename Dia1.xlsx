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lpf0069\Documents\Proyectos\Area TI\Fichas Tecnicas\"/>
    </mc:Choice>
  </mc:AlternateContent>
  <xr:revisionPtr revIDLastSave="0" documentId="13_ncr:1_{3068F007-06A7-4CBE-842B-C592441311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1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2" i="1"/>
  <c r="K61" i="1" l="1"/>
  <c r="M61" i="1" s="1"/>
</calcChain>
</file>

<file path=xl/sharedStrings.xml><?xml version="1.0" encoding="utf-8"?>
<sst xmlns="http://schemas.openxmlformats.org/spreadsheetml/2006/main" count="311" uniqueCount="222">
  <si>
    <t>Home</t>
  </si>
  <si>
    <t>Away</t>
  </si>
  <si>
    <t>League</t>
  </si>
  <si>
    <t>Country</t>
  </si>
  <si>
    <t>Time</t>
  </si>
  <si>
    <t>La Equidad</t>
  </si>
  <si>
    <t>Santa Fe</t>
  </si>
  <si>
    <t>Primera A</t>
  </si>
  <si>
    <t>Colombia</t>
  </si>
  <si>
    <t>19:00</t>
  </si>
  <si>
    <t>Manta FC</t>
  </si>
  <si>
    <t>Tecnico Universitario</t>
  </si>
  <si>
    <t>Liga Pro</t>
  </si>
  <si>
    <t>Ecuador</t>
  </si>
  <si>
    <t>Colo Colo</t>
  </si>
  <si>
    <t>Fortaleza EC</t>
  </si>
  <si>
    <t>CONMEBOL Libertadores</t>
  </si>
  <si>
    <t>World</t>
  </si>
  <si>
    <t>Cuiaba</t>
  </si>
  <si>
    <t>Avai</t>
  </si>
  <si>
    <t>Serie B</t>
  </si>
  <si>
    <t>Brazil</t>
  </si>
  <si>
    <t>19:30</t>
  </si>
  <si>
    <t>Sao Paulo</t>
  </si>
  <si>
    <t>Alianza Lima</t>
  </si>
  <si>
    <t>Club Guarani</t>
  </si>
  <si>
    <t>Nacional Potosí</t>
  </si>
  <si>
    <t>CONMEBOL Sudamericana</t>
  </si>
  <si>
    <t>Fluminense</t>
  </si>
  <si>
    <t>Gualberto Villarroel SJ</t>
  </si>
  <si>
    <t>Atletico-MG</t>
  </si>
  <si>
    <t>Deportes Iquique</t>
  </si>
  <si>
    <t>Universidad Catolica</t>
  </si>
  <si>
    <t>Cerro Largo</t>
  </si>
  <si>
    <t>21:00</t>
  </si>
  <si>
    <t>Club Tijuana</t>
  </si>
  <si>
    <t>Atletico San Luis</t>
  </si>
  <si>
    <t>Liga MX</t>
  </si>
  <si>
    <t>Mexico</t>
  </si>
  <si>
    <t>21:05</t>
  </si>
  <si>
    <t>Melbourne City</t>
  </si>
  <si>
    <t>Brisbane Roar</t>
  </si>
  <si>
    <t>A-League</t>
  </si>
  <si>
    <t>Australia</t>
  </si>
  <si>
    <t>04:35</t>
  </si>
  <si>
    <t>FC Tokyo</t>
  </si>
  <si>
    <t>Kashiwa Reysol</t>
  </si>
  <si>
    <t>J1 League</t>
  </si>
  <si>
    <t>Japan</t>
  </si>
  <si>
    <t>05:00</t>
  </si>
  <si>
    <t>Shandong Luneng</t>
  </si>
  <si>
    <t>Sichuan Jiuniu</t>
  </si>
  <si>
    <t>Super League</t>
  </si>
  <si>
    <t>China</t>
  </si>
  <si>
    <t>06:35</t>
  </si>
  <si>
    <t>Meizhou Kejia</t>
  </si>
  <si>
    <t>Changchun Yatai</t>
  </si>
  <si>
    <t>Beijing Guoan</t>
  </si>
  <si>
    <t>Qingdao Youth Island</t>
  </si>
  <si>
    <t>07:00</t>
  </si>
  <si>
    <t>LNZ Cherkasy</t>
  </si>
  <si>
    <t>Shakhtar Donetsk</t>
  </si>
  <si>
    <t>Premier League</t>
  </si>
  <si>
    <t>Ukraine</t>
  </si>
  <si>
    <t>07:30</t>
  </si>
  <si>
    <t>Masr</t>
  </si>
  <si>
    <t>El Gouna FC</t>
  </si>
  <si>
    <t>Egypt</t>
  </si>
  <si>
    <t>09:00</t>
  </si>
  <si>
    <t>SCM Gloria Buzău</t>
  </si>
  <si>
    <t>Politehnica Iasi</t>
  </si>
  <si>
    <t>Liga I</t>
  </si>
  <si>
    <t>Romania</t>
  </si>
  <si>
    <t>09:30</t>
  </si>
  <si>
    <t>ASO Chlef</t>
  </si>
  <si>
    <t>ES Setif</t>
  </si>
  <si>
    <t>Ligue 1</t>
  </si>
  <si>
    <t>Algeria</t>
  </si>
  <si>
    <t>10:00</t>
  </si>
  <si>
    <t>Kooteepee</t>
  </si>
  <si>
    <t>VPS</t>
  </si>
  <si>
    <t>Veikkausliiga</t>
  </si>
  <si>
    <t>Finland</t>
  </si>
  <si>
    <t>Paradou AC</t>
  </si>
  <si>
    <t>El Bayadh</t>
  </si>
  <si>
    <t>11:00</t>
  </si>
  <si>
    <t>Spartak Moscow</t>
  </si>
  <si>
    <t>Makhachkala</t>
  </si>
  <si>
    <t>Russia</t>
  </si>
  <si>
    <t>11:30</t>
  </si>
  <si>
    <t>Hamburger SV</t>
  </si>
  <si>
    <t>Eintracht Braunschweig</t>
  </si>
  <si>
    <t>2. Bundesliga</t>
  </si>
  <si>
    <t>Germany</t>
  </si>
  <si>
    <t>SpVgg Greuther Fürth</t>
  </si>
  <si>
    <t>1.FC Köln</t>
  </si>
  <si>
    <t>Samsunspor</t>
  </si>
  <si>
    <t>Galatasaray</t>
  </si>
  <si>
    <t>Süper Lig</t>
  </si>
  <si>
    <t>Turkey</t>
  </si>
  <si>
    <t>12:00</t>
  </si>
  <si>
    <t>SJK</t>
  </si>
  <si>
    <t>HJK helsinki</t>
  </si>
  <si>
    <t>Ghazl El Mehalla</t>
  </si>
  <si>
    <t>Smouha SC</t>
  </si>
  <si>
    <t>Aalborg</t>
  </si>
  <si>
    <t>Lyngby</t>
  </si>
  <si>
    <t>Superliga</t>
  </si>
  <si>
    <t>Denmark</t>
  </si>
  <si>
    <t>CODM Meknès</t>
  </si>
  <si>
    <t>Olympique Safi</t>
  </si>
  <si>
    <t>Botola Pro</t>
  </si>
  <si>
    <t>Morocco</t>
  </si>
  <si>
    <t>AFC Hermannstadt</t>
  </si>
  <si>
    <t>Petrolul Ploiesti</t>
  </si>
  <si>
    <t>12:30</t>
  </si>
  <si>
    <t>FC BW Linz</t>
  </si>
  <si>
    <t>Wolfsberger AC</t>
  </si>
  <si>
    <t>Bundesliga</t>
  </si>
  <si>
    <t>Austria</t>
  </si>
  <si>
    <t>Estac Troyes</t>
  </si>
  <si>
    <t>Ajaccio</t>
  </si>
  <si>
    <t>Ligue 2</t>
  </si>
  <si>
    <t>France</t>
  </si>
  <si>
    <t>13:00</t>
  </si>
  <si>
    <t>Rodez</t>
  </si>
  <si>
    <t>Caen</t>
  </si>
  <si>
    <t>Martigues</t>
  </si>
  <si>
    <t>Metz</t>
  </si>
  <si>
    <t>PAU</t>
  </si>
  <si>
    <t>Clermont Foot</t>
  </si>
  <si>
    <t>Amiens</t>
  </si>
  <si>
    <t>Dunkerque</t>
  </si>
  <si>
    <t>RED Star FC 93</t>
  </si>
  <si>
    <t>Annecy</t>
  </si>
  <si>
    <t>NEC Nijmegen</t>
  </si>
  <si>
    <t>Waalwijk</t>
  </si>
  <si>
    <t>Eredivisie</t>
  </si>
  <si>
    <t>Netherlands</t>
  </si>
  <si>
    <t>Medeama</t>
  </si>
  <si>
    <t>Dreams</t>
  </si>
  <si>
    <t>Ghana</t>
  </si>
  <si>
    <t>Ayacucho FC</t>
  </si>
  <si>
    <t>UTC</t>
  </si>
  <si>
    <t>Primera División</t>
  </si>
  <si>
    <t>Peru</t>
  </si>
  <si>
    <t>13:15</t>
  </si>
  <si>
    <t>Cordoba</t>
  </si>
  <si>
    <t>Levante</t>
  </si>
  <si>
    <t>Segunda División</t>
  </si>
  <si>
    <t>Spain</t>
  </si>
  <si>
    <t>13:30</t>
  </si>
  <si>
    <t>VfL Wolfsburg</t>
  </si>
  <si>
    <t>RB Leipzig</t>
  </si>
  <si>
    <t>Bari</t>
  </si>
  <si>
    <t>Palermo</t>
  </si>
  <si>
    <t>Italy</t>
  </si>
  <si>
    <t>Lens</t>
  </si>
  <si>
    <t>Reims</t>
  </si>
  <si>
    <t>13:45</t>
  </si>
  <si>
    <t>Udinese</t>
  </si>
  <si>
    <t>AC Milan</t>
  </si>
  <si>
    <t>Serie A</t>
  </si>
  <si>
    <t>KVC Westerlo</t>
  </si>
  <si>
    <t>Charleroi</t>
  </si>
  <si>
    <t>Jupiler Pro League</t>
  </si>
  <si>
    <t>Belgium</t>
  </si>
  <si>
    <t>Valencia</t>
  </si>
  <si>
    <t>Sevilla</t>
  </si>
  <si>
    <t>La Liga</t>
  </si>
  <si>
    <t>14:00</t>
  </si>
  <si>
    <t>Burnley</t>
  </si>
  <si>
    <t>Norwich</t>
  </si>
  <si>
    <t>Championship</t>
  </si>
  <si>
    <t>England</t>
  </si>
  <si>
    <t>ABB</t>
  </si>
  <si>
    <t>Real Tomayapo</t>
  </si>
  <si>
    <t>Bolivia</t>
  </si>
  <si>
    <t>Riadi Salmi</t>
  </si>
  <si>
    <t>CR Khemis Zemamra</t>
  </si>
  <si>
    <t>GIL Vicente</t>
  </si>
  <si>
    <t>Guimaraes</t>
  </si>
  <si>
    <t>Primeira Liga</t>
  </si>
  <si>
    <t>Portugal</t>
  </si>
  <si>
    <t>14:15</t>
  </si>
  <si>
    <t>Orsomarso</t>
  </si>
  <si>
    <t>Real Cartagena</t>
  </si>
  <si>
    <t>Primera B</t>
  </si>
  <si>
    <t>15:30</t>
  </si>
  <si>
    <t>Cultural Santa Rosa</t>
  </si>
  <si>
    <t>Sport Huancayo</t>
  </si>
  <si>
    <t>Libertad Asuncion</t>
  </si>
  <si>
    <t>Nacional Asuncion</t>
  </si>
  <si>
    <t>Division Profesional - Apertura</t>
  </si>
  <si>
    <t>Paraguay</t>
  </si>
  <si>
    <t>16:30</t>
  </si>
  <si>
    <t>Banfield</t>
  </si>
  <si>
    <t>Independ. Rivadavia</t>
  </si>
  <si>
    <t>Liga Profesional Argentina</t>
  </si>
  <si>
    <t>Argentina</t>
  </si>
  <si>
    <t>17:00</t>
  </si>
  <si>
    <t>Patriotas</t>
  </si>
  <si>
    <t>Leones FC</t>
  </si>
  <si>
    <t>18:00</t>
  </si>
  <si>
    <t>Portuguesa FC</t>
  </si>
  <si>
    <t>Estudiantes de Merida FC</t>
  </si>
  <si>
    <t>Venezuela</t>
  </si>
  <si>
    <t>Llaneros</t>
  </si>
  <si>
    <t>Alianza Petrolera</t>
  </si>
  <si>
    <t>Independiente Petrolero</t>
  </si>
  <si>
    <t>Real Oruro</t>
  </si>
  <si>
    <t>% Home</t>
  </si>
  <si>
    <t>% Away</t>
  </si>
  <si>
    <t>% Draw</t>
  </si>
  <si>
    <t>Bet</t>
  </si>
  <si>
    <t>Base</t>
  </si>
  <si>
    <t>Cuota Mayor</t>
  </si>
  <si>
    <t>Apostado</t>
  </si>
  <si>
    <t>Potential</t>
  </si>
  <si>
    <t>Ganancia</t>
  </si>
  <si>
    <t>Invertido</t>
  </si>
  <si>
    <t>Beneficios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</si>
</sst>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3" fillId="0" borderId="0" xfId="0" applyFont="1"/>
    <xf numFmtId="0" fontId="4" fillId="0" borderId="2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44" fontId="0" fillId="0" borderId="0" xfId="1" applyFont="1"/>
    <xf numFmtId="44" fontId="0" fillId="2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tabSelected="1" topLeftCell="A48" workbookViewId="0">
      <selection activeCell="L61" sqref="L61"/>
    </sheetView>
  </sheetViews>
  <sheetFormatPr baseColWidth="10" defaultColWidth="9.140625" defaultRowHeight="15" x14ac:dyDescent="0.25"/>
  <cols>
    <col min="1" max="1" width="23.42578125" bestFit="1" customWidth="1"/>
    <col min="2" max="2" width="23.5703125" bestFit="1" customWidth="1"/>
    <col min="3" max="3" width="28.5703125" bestFit="1" customWidth="1"/>
    <col min="4" max="4" width="12" bestFit="1" customWidth="1"/>
    <col min="5" max="5" width="5.5703125" bestFit="1" customWidth="1"/>
    <col min="7" max="7" width="9.7109375" customWidth="1"/>
    <col min="9" max="9" width="6.28515625" bestFit="1" customWidth="1"/>
    <col min="10" max="10" width="12.28515625" style="6" bestFit="1" customWidth="1"/>
    <col min="11" max="11" width="17.85546875" customWidth="1"/>
    <col min="12" max="12" width="18.28515625" customWidth="1"/>
    <col min="13" max="13" width="16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211</v>
      </c>
      <c r="G1" s="1" t="s">
        <v>212</v>
      </c>
      <c r="H1" s="1" t="s">
        <v>213</v>
      </c>
      <c r="I1" s="1" t="s">
        <v>214</v>
      </c>
      <c r="J1" s="5" t="s">
        <v>216</v>
      </c>
      <c r="K1" s="4" t="s">
        <v>218</v>
      </c>
      <c r="M1" t="s">
        <v>215</v>
      </c>
      <c r="N1" s="3" t="s">
        <v>217</v>
      </c>
    </row>
    <row r="2" spans="1:14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s="2">
        <v>0.35</v>
      </c>
      <c r="G2" s="2">
        <v>0.3</v>
      </c>
      <c r="H2" s="2">
        <v>0.35</v>
      </c>
      <c r="I2" t="str">
        <f>IF(F2&gt;=$M$2,"Home",IF(G2&gt;=$M$2,"Away",IF(H2&gt;=$M$2,"Draw","")))</f>
        <v/>
      </c>
      <c r="K2">
        <f>+J2*$N$2</f>
        <v>0</v>
      </c>
      <c r="M2" s="2">
        <v>0.5</v>
      </c>
      <c r="N2">
        <v>1000</v>
      </c>
    </row>
    <row r="3" spans="1:14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  <c r="F3" s="2">
        <v>0.4</v>
      </c>
      <c r="G3" s="2">
        <v>0.35</v>
      </c>
      <c r="H3" s="2">
        <v>0.25</v>
      </c>
      <c r="I3" t="str">
        <f t="shared" ref="I3:I60" si="0">IF(F3&gt;=$M$2,"Home",IF(G3&gt;=$M$2,"Away",IF(H3&gt;=$M$2,"Draw","")))</f>
        <v/>
      </c>
      <c r="K3">
        <f t="shared" ref="K3:K60" si="1">+J3*$N$2</f>
        <v>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  <c r="F4" s="2">
        <v>0.5</v>
      </c>
      <c r="G4" s="2">
        <v>0.25</v>
      </c>
      <c r="H4" s="2">
        <v>0.25</v>
      </c>
      <c r="I4" t="str">
        <f t="shared" si="0"/>
        <v>Home</v>
      </c>
      <c r="K4">
        <f t="shared" si="1"/>
        <v>0</v>
      </c>
    </row>
    <row r="5" spans="1:14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s="2">
        <v>0.45</v>
      </c>
      <c r="G5" s="2">
        <v>0.3</v>
      </c>
      <c r="H5" s="2">
        <v>0.25</v>
      </c>
      <c r="I5" t="str">
        <f t="shared" si="0"/>
        <v/>
      </c>
      <c r="K5">
        <f t="shared" si="1"/>
        <v>0</v>
      </c>
    </row>
    <row r="6" spans="1:14" x14ac:dyDescent="0.25">
      <c r="A6" t="s">
        <v>23</v>
      </c>
      <c r="B6" t="s">
        <v>24</v>
      </c>
      <c r="C6" t="s">
        <v>16</v>
      </c>
      <c r="D6" t="s">
        <v>17</v>
      </c>
      <c r="E6" t="s">
        <v>22</v>
      </c>
      <c r="F6" s="2">
        <v>0.65</v>
      </c>
      <c r="G6" s="2">
        <v>0.15</v>
      </c>
      <c r="H6" s="2">
        <v>0.2</v>
      </c>
      <c r="I6" t="str">
        <f t="shared" si="0"/>
        <v>Home</v>
      </c>
      <c r="J6" s="6">
        <v>0</v>
      </c>
      <c r="K6">
        <f t="shared" si="1"/>
        <v>0</v>
      </c>
    </row>
    <row r="7" spans="1:14" x14ac:dyDescent="0.25">
      <c r="A7" t="s">
        <v>25</v>
      </c>
      <c r="B7" t="s">
        <v>26</v>
      </c>
      <c r="C7" t="s">
        <v>27</v>
      </c>
      <c r="D7" t="s">
        <v>17</v>
      </c>
      <c r="E7" t="s">
        <v>22</v>
      </c>
      <c r="F7" s="2">
        <v>0.4</v>
      </c>
      <c r="G7" s="2">
        <v>0.35</v>
      </c>
      <c r="H7" s="2">
        <v>0.25</v>
      </c>
      <c r="I7" t="str">
        <f t="shared" si="0"/>
        <v/>
      </c>
      <c r="K7">
        <f t="shared" si="1"/>
        <v>0</v>
      </c>
    </row>
    <row r="8" spans="1:14" x14ac:dyDescent="0.25">
      <c r="A8" t="s">
        <v>28</v>
      </c>
      <c r="B8" t="s">
        <v>29</v>
      </c>
      <c r="C8" t="s">
        <v>27</v>
      </c>
      <c r="D8" t="s">
        <v>17</v>
      </c>
      <c r="E8" t="s">
        <v>22</v>
      </c>
      <c r="F8" s="2">
        <v>0.75</v>
      </c>
      <c r="G8" s="2">
        <v>0.1</v>
      </c>
      <c r="H8" s="2">
        <v>0.15</v>
      </c>
      <c r="I8" t="str">
        <f t="shared" si="0"/>
        <v>Home</v>
      </c>
      <c r="J8" s="6">
        <v>1.1000000000000001</v>
      </c>
      <c r="K8">
        <f t="shared" si="1"/>
        <v>1100</v>
      </c>
    </row>
    <row r="9" spans="1:14" x14ac:dyDescent="0.25">
      <c r="A9" t="s">
        <v>30</v>
      </c>
      <c r="B9" t="s">
        <v>31</v>
      </c>
      <c r="C9" t="s">
        <v>27</v>
      </c>
      <c r="D9" t="s">
        <v>17</v>
      </c>
      <c r="E9" t="s">
        <v>22</v>
      </c>
      <c r="F9" s="2">
        <v>0.7</v>
      </c>
      <c r="G9" s="2">
        <v>0.15</v>
      </c>
      <c r="H9" s="2">
        <v>0.15</v>
      </c>
      <c r="I9" t="str">
        <f t="shared" si="0"/>
        <v>Home</v>
      </c>
      <c r="J9" s="6">
        <v>1.18</v>
      </c>
      <c r="K9">
        <f t="shared" si="1"/>
        <v>1180</v>
      </c>
    </row>
    <row r="10" spans="1:14" x14ac:dyDescent="0.25">
      <c r="A10" t="s">
        <v>32</v>
      </c>
      <c r="B10" t="s">
        <v>33</v>
      </c>
      <c r="C10" t="s">
        <v>27</v>
      </c>
      <c r="D10" t="s">
        <v>17</v>
      </c>
      <c r="E10" t="s">
        <v>34</v>
      </c>
      <c r="F10" s="2">
        <v>0.55000000000000004</v>
      </c>
      <c r="G10" s="2">
        <v>0.2</v>
      </c>
      <c r="H10" s="2">
        <v>0.25</v>
      </c>
      <c r="I10" t="str">
        <f t="shared" si="0"/>
        <v>Home</v>
      </c>
      <c r="J10" s="6">
        <v>1.42</v>
      </c>
      <c r="K10">
        <f t="shared" si="1"/>
        <v>1420</v>
      </c>
    </row>
    <row r="11" spans="1:14" x14ac:dyDescent="0.25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s="2">
        <v>0.4</v>
      </c>
      <c r="G11" s="2">
        <v>0.35</v>
      </c>
      <c r="H11" s="2">
        <v>0.25</v>
      </c>
      <c r="I11" t="str">
        <f t="shared" si="0"/>
        <v/>
      </c>
      <c r="K11">
        <f t="shared" si="1"/>
        <v>0</v>
      </c>
    </row>
    <row r="12" spans="1:14" x14ac:dyDescent="0.25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s="2">
        <v>0.5</v>
      </c>
      <c r="G12" s="2">
        <v>0.25</v>
      </c>
      <c r="H12" s="2">
        <v>0.25</v>
      </c>
      <c r="I12" t="str">
        <f t="shared" si="0"/>
        <v>Home</v>
      </c>
      <c r="J12" s="6">
        <v>1.42</v>
      </c>
      <c r="K12">
        <f t="shared" si="1"/>
        <v>1420</v>
      </c>
    </row>
    <row r="13" spans="1:14" x14ac:dyDescent="0.25">
      <c r="A13" t="s">
        <v>45</v>
      </c>
      <c r="B13" t="s">
        <v>46</v>
      </c>
      <c r="C13" t="s">
        <v>47</v>
      </c>
      <c r="D13" t="s">
        <v>48</v>
      </c>
      <c r="E13" t="s">
        <v>49</v>
      </c>
      <c r="F13" s="2">
        <v>0.45</v>
      </c>
      <c r="G13" s="2">
        <v>0.3</v>
      </c>
      <c r="H13" s="2">
        <v>0.25</v>
      </c>
      <c r="I13" t="str">
        <f t="shared" si="0"/>
        <v/>
      </c>
      <c r="K13">
        <f t="shared" si="1"/>
        <v>0</v>
      </c>
    </row>
    <row r="14" spans="1:14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s="2">
        <v>0.6</v>
      </c>
      <c r="G14" s="2">
        <v>0.2</v>
      </c>
      <c r="H14" s="2">
        <v>0.2</v>
      </c>
      <c r="I14" t="str">
        <f t="shared" si="0"/>
        <v>Home</v>
      </c>
      <c r="J14" s="6">
        <v>1.42</v>
      </c>
      <c r="K14">
        <f t="shared" si="1"/>
        <v>1420</v>
      </c>
    </row>
    <row r="15" spans="1:14" x14ac:dyDescent="0.25">
      <c r="A15" t="s">
        <v>55</v>
      </c>
      <c r="B15" t="s">
        <v>56</v>
      </c>
      <c r="C15" t="s">
        <v>52</v>
      </c>
      <c r="D15" t="s">
        <v>53</v>
      </c>
      <c r="E15" t="s">
        <v>54</v>
      </c>
      <c r="F15" s="2">
        <v>0.35</v>
      </c>
      <c r="G15" s="2">
        <v>0.4</v>
      </c>
      <c r="H15" s="2">
        <v>0.25</v>
      </c>
      <c r="I15" t="str">
        <f t="shared" si="0"/>
        <v/>
      </c>
      <c r="K15">
        <f t="shared" si="1"/>
        <v>0</v>
      </c>
    </row>
    <row r="16" spans="1:14" x14ac:dyDescent="0.25">
      <c r="A16" t="s">
        <v>57</v>
      </c>
      <c r="B16" t="s">
        <v>58</v>
      </c>
      <c r="C16" t="s">
        <v>52</v>
      </c>
      <c r="D16" t="s">
        <v>53</v>
      </c>
      <c r="E16" t="s">
        <v>59</v>
      </c>
      <c r="F16" s="2">
        <v>0.55000000000000004</v>
      </c>
      <c r="G16" s="2">
        <v>0.2</v>
      </c>
      <c r="H16" s="2">
        <v>0.25</v>
      </c>
      <c r="I16" t="str">
        <f t="shared" si="0"/>
        <v>Home</v>
      </c>
      <c r="K16">
        <f t="shared" si="1"/>
        <v>0</v>
      </c>
    </row>
    <row r="17" spans="1:11" x14ac:dyDescent="0.25">
      <c r="A17" t="s">
        <v>60</v>
      </c>
      <c r="B17" t="s">
        <v>61</v>
      </c>
      <c r="C17" t="s">
        <v>62</v>
      </c>
      <c r="D17" t="s">
        <v>63</v>
      </c>
      <c r="E17" t="s">
        <v>64</v>
      </c>
      <c r="F17" s="2">
        <v>0.15</v>
      </c>
      <c r="G17" s="2">
        <v>0.65</v>
      </c>
      <c r="H17" s="2">
        <v>0.2</v>
      </c>
      <c r="I17" t="str">
        <f t="shared" si="0"/>
        <v>Away</v>
      </c>
      <c r="J17" s="6">
        <v>1.18</v>
      </c>
      <c r="K17">
        <f t="shared" si="1"/>
        <v>1180</v>
      </c>
    </row>
    <row r="18" spans="1:11" x14ac:dyDescent="0.25">
      <c r="A18" t="s">
        <v>65</v>
      </c>
      <c r="B18" t="s">
        <v>66</v>
      </c>
      <c r="C18" t="s">
        <v>62</v>
      </c>
      <c r="D18" t="s">
        <v>67</v>
      </c>
      <c r="E18" t="s">
        <v>68</v>
      </c>
      <c r="F18" s="2">
        <v>0.4</v>
      </c>
      <c r="G18" s="2">
        <v>0.35</v>
      </c>
      <c r="H18" s="2">
        <v>0.25</v>
      </c>
      <c r="I18" t="str">
        <f t="shared" si="0"/>
        <v/>
      </c>
      <c r="K18">
        <f t="shared" si="1"/>
        <v>0</v>
      </c>
    </row>
    <row r="19" spans="1:11" x14ac:dyDescent="0.25">
      <c r="A19" t="s">
        <v>69</v>
      </c>
      <c r="B19" t="s">
        <v>70</v>
      </c>
      <c r="C19" t="s">
        <v>71</v>
      </c>
      <c r="D19" t="s">
        <v>72</v>
      </c>
      <c r="E19" t="s">
        <v>73</v>
      </c>
      <c r="F19" s="2">
        <v>0.3</v>
      </c>
      <c r="G19" s="2">
        <v>0.45</v>
      </c>
      <c r="H19" s="2">
        <v>0.25</v>
      </c>
      <c r="I19" t="str">
        <f t="shared" si="0"/>
        <v/>
      </c>
      <c r="K19">
        <f t="shared" si="1"/>
        <v>0</v>
      </c>
    </row>
    <row r="20" spans="1:11" x14ac:dyDescent="0.25">
      <c r="A20" t="s">
        <v>74</v>
      </c>
      <c r="B20" t="s">
        <v>75</v>
      </c>
      <c r="C20" t="s">
        <v>76</v>
      </c>
      <c r="D20" t="s">
        <v>77</v>
      </c>
      <c r="E20" t="s">
        <v>78</v>
      </c>
      <c r="F20" s="2">
        <v>0.35</v>
      </c>
      <c r="G20" s="2">
        <v>0.4</v>
      </c>
      <c r="H20" s="2">
        <v>0.25</v>
      </c>
      <c r="I20" t="str">
        <f t="shared" si="0"/>
        <v/>
      </c>
      <c r="K20">
        <f t="shared" si="1"/>
        <v>0</v>
      </c>
    </row>
    <row r="21" spans="1:11" x14ac:dyDescent="0.25">
      <c r="A21" t="s">
        <v>79</v>
      </c>
      <c r="B21" t="s">
        <v>80</v>
      </c>
      <c r="C21" t="s">
        <v>81</v>
      </c>
      <c r="D21" t="s">
        <v>82</v>
      </c>
      <c r="E21" t="s">
        <v>78</v>
      </c>
      <c r="F21" s="2">
        <v>0.25</v>
      </c>
      <c r="G21" s="2">
        <v>0.5</v>
      </c>
      <c r="H21" s="2">
        <v>0.25</v>
      </c>
      <c r="I21" t="str">
        <f t="shared" si="0"/>
        <v>Away</v>
      </c>
      <c r="J21" s="6">
        <v>0</v>
      </c>
      <c r="K21">
        <f t="shared" si="1"/>
        <v>0</v>
      </c>
    </row>
    <row r="22" spans="1:11" x14ac:dyDescent="0.25">
      <c r="A22" t="s">
        <v>83</v>
      </c>
      <c r="B22" t="s">
        <v>84</v>
      </c>
      <c r="C22" t="s">
        <v>76</v>
      </c>
      <c r="D22" t="s">
        <v>77</v>
      </c>
      <c r="E22" t="s">
        <v>85</v>
      </c>
      <c r="F22" s="2">
        <v>0.5</v>
      </c>
      <c r="G22" s="2">
        <v>0.25</v>
      </c>
      <c r="H22" s="2">
        <v>0.25</v>
      </c>
      <c r="I22" t="str">
        <f t="shared" si="0"/>
        <v>Home</v>
      </c>
      <c r="J22" s="6">
        <v>1.86</v>
      </c>
      <c r="K22">
        <f t="shared" si="1"/>
        <v>1860</v>
      </c>
    </row>
    <row r="23" spans="1:11" x14ac:dyDescent="0.25">
      <c r="A23" t="s">
        <v>86</v>
      </c>
      <c r="B23" t="s">
        <v>87</v>
      </c>
      <c r="C23" t="s">
        <v>62</v>
      </c>
      <c r="D23" t="s">
        <v>88</v>
      </c>
      <c r="E23" t="s">
        <v>89</v>
      </c>
      <c r="F23" s="2">
        <v>0.65</v>
      </c>
      <c r="G23" s="2">
        <v>0.15</v>
      </c>
      <c r="H23" s="2">
        <v>0.2</v>
      </c>
      <c r="I23" t="str">
        <f t="shared" si="0"/>
        <v>Home</v>
      </c>
      <c r="J23" s="6">
        <v>1.55</v>
      </c>
      <c r="K23">
        <f t="shared" si="1"/>
        <v>1550</v>
      </c>
    </row>
    <row r="24" spans="1:11" x14ac:dyDescent="0.25">
      <c r="A24" t="s">
        <v>90</v>
      </c>
      <c r="B24" t="s">
        <v>91</v>
      </c>
      <c r="C24" t="s">
        <v>92</v>
      </c>
      <c r="D24" t="s">
        <v>93</v>
      </c>
      <c r="E24" t="s">
        <v>89</v>
      </c>
      <c r="F24" s="2">
        <v>0.55000000000000004</v>
      </c>
      <c r="G24" s="2">
        <v>0.2</v>
      </c>
      <c r="H24" s="2">
        <v>0.25</v>
      </c>
      <c r="I24" t="str">
        <f t="shared" si="0"/>
        <v>Home</v>
      </c>
      <c r="J24" s="6">
        <v>1.4</v>
      </c>
      <c r="K24">
        <f t="shared" si="1"/>
        <v>1400</v>
      </c>
    </row>
    <row r="25" spans="1:11" x14ac:dyDescent="0.25">
      <c r="A25" t="s">
        <v>94</v>
      </c>
      <c r="B25" t="s">
        <v>95</v>
      </c>
      <c r="C25" t="s">
        <v>92</v>
      </c>
      <c r="D25" t="s">
        <v>93</v>
      </c>
      <c r="E25" t="s">
        <v>89</v>
      </c>
      <c r="F25" s="2">
        <v>0.3</v>
      </c>
      <c r="G25" s="2">
        <v>0.45</v>
      </c>
      <c r="H25" s="2">
        <v>0.25</v>
      </c>
      <c r="I25" t="str">
        <f t="shared" si="0"/>
        <v/>
      </c>
      <c r="K25">
        <f t="shared" si="1"/>
        <v>0</v>
      </c>
    </row>
    <row r="26" spans="1:11" x14ac:dyDescent="0.25">
      <c r="A26" t="s">
        <v>96</v>
      </c>
      <c r="B26" t="s">
        <v>97</v>
      </c>
      <c r="C26" t="s">
        <v>98</v>
      </c>
      <c r="D26" t="s">
        <v>99</v>
      </c>
      <c r="E26" t="s">
        <v>100</v>
      </c>
      <c r="F26" s="2">
        <v>0.2</v>
      </c>
      <c r="G26" s="2">
        <v>0.6</v>
      </c>
      <c r="H26" s="2">
        <v>0.2</v>
      </c>
      <c r="I26" t="str">
        <f t="shared" si="0"/>
        <v>Away</v>
      </c>
      <c r="J26" s="6">
        <v>1.73</v>
      </c>
      <c r="K26">
        <f t="shared" si="1"/>
        <v>1730</v>
      </c>
    </row>
    <row r="27" spans="1:11" x14ac:dyDescent="0.25">
      <c r="A27" t="s">
        <v>101</v>
      </c>
      <c r="B27" t="s">
        <v>102</v>
      </c>
      <c r="C27" t="s">
        <v>81</v>
      </c>
      <c r="D27" t="s">
        <v>82</v>
      </c>
      <c r="E27" t="s">
        <v>100</v>
      </c>
      <c r="F27" s="2">
        <v>0.25</v>
      </c>
      <c r="G27" s="2">
        <v>0.55000000000000004</v>
      </c>
      <c r="H27" s="2">
        <v>0.2</v>
      </c>
      <c r="I27" t="str">
        <f t="shared" si="0"/>
        <v>Away</v>
      </c>
      <c r="J27" s="6">
        <v>2</v>
      </c>
      <c r="K27">
        <f t="shared" si="1"/>
        <v>2000</v>
      </c>
    </row>
    <row r="28" spans="1:11" x14ac:dyDescent="0.25">
      <c r="A28" t="s">
        <v>103</v>
      </c>
      <c r="B28" t="s">
        <v>104</v>
      </c>
      <c r="C28" t="s">
        <v>62</v>
      </c>
      <c r="D28" t="s">
        <v>67</v>
      </c>
      <c r="E28" t="s">
        <v>100</v>
      </c>
      <c r="F28" s="2">
        <v>0.35</v>
      </c>
      <c r="G28" s="2">
        <v>0.4</v>
      </c>
      <c r="H28" s="2">
        <v>0.25</v>
      </c>
      <c r="I28" t="str">
        <f t="shared" si="0"/>
        <v/>
      </c>
      <c r="K28">
        <f t="shared" si="1"/>
        <v>0</v>
      </c>
    </row>
    <row r="29" spans="1:11" x14ac:dyDescent="0.25">
      <c r="A29" t="s">
        <v>105</v>
      </c>
      <c r="B29" t="s">
        <v>106</v>
      </c>
      <c r="C29" t="s">
        <v>107</v>
      </c>
      <c r="D29" t="s">
        <v>108</v>
      </c>
      <c r="E29" t="s">
        <v>100</v>
      </c>
      <c r="F29" s="2">
        <v>0.45</v>
      </c>
      <c r="G29" s="2">
        <v>0.3</v>
      </c>
      <c r="H29" s="2">
        <v>0.25</v>
      </c>
      <c r="I29" t="str">
        <f t="shared" si="0"/>
        <v/>
      </c>
      <c r="K29">
        <f t="shared" si="1"/>
        <v>0</v>
      </c>
    </row>
    <row r="30" spans="1:11" x14ac:dyDescent="0.25">
      <c r="A30" t="s">
        <v>109</v>
      </c>
      <c r="B30" t="s">
        <v>110</v>
      </c>
      <c r="C30" t="s">
        <v>111</v>
      </c>
      <c r="D30" t="s">
        <v>112</v>
      </c>
      <c r="E30" t="s">
        <v>100</v>
      </c>
      <c r="F30" s="2">
        <v>0.4</v>
      </c>
      <c r="G30" s="2">
        <v>0.35</v>
      </c>
      <c r="H30" s="2">
        <v>0.25</v>
      </c>
      <c r="I30" t="str">
        <f t="shared" si="0"/>
        <v/>
      </c>
      <c r="K30">
        <f t="shared" si="1"/>
        <v>0</v>
      </c>
    </row>
    <row r="31" spans="1:11" x14ac:dyDescent="0.25">
      <c r="A31" t="s">
        <v>113</v>
      </c>
      <c r="B31" t="s">
        <v>114</v>
      </c>
      <c r="C31" t="s">
        <v>71</v>
      </c>
      <c r="D31" t="s">
        <v>72</v>
      </c>
      <c r="E31" t="s">
        <v>115</v>
      </c>
      <c r="F31" s="2">
        <v>0.35</v>
      </c>
      <c r="G31" s="2">
        <v>0.4</v>
      </c>
      <c r="H31" s="2">
        <v>0.25</v>
      </c>
      <c r="I31" t="str">
        <f t="shared" si="0"/>
        <v/>
      </c>
      <c r="K31">
        <f t="shared" si="1"/>
        <v>0</v>
      </c>
    </row>
    <row r="32" spans="1:11" x14ac:dyDescent="0.25">
      <c r="A32" t="s">
        <v>116</v>
      </c>
      <c r="B32" t="s">
        <v>117</v>
      </c>
      <c r="C32" t="s">
        <v>118</v>
      </c>
      <c r="D32" t="s">
        <v>119</v>
      </c>
      <c r="E32" t="s">
        <v>115</v>
      </c>
      <c r="F32" s="2">
        <v>0.3</v>
      </c>
      <c r="G32" s="2">
        <v>0.45</v>
      </c>
      <c r="H32" s="2">
        <v>0.25</v>
      </c>
      <c r="I32" t="str">
        <f t="shared" si="0"/>
        <v/>
      </c>
      <c r="K32">
        <f t="shared" si="1"/>
        <v>0</v>
      </c>
    </row>
    <row r="33" spans="1:11" x14ac:dyDescent="0.25">
      <c r="A33" t="s">
        <v>120</v>
      </c>
      <c r="B33" t="s">
        <v>121</v>
      </c>
      <c r="C33" t="s">
        <v>122</v>
      </c>
      <c r="D33" t="s">
        <v>123</v>
      </c>
      <c r="E33" t="s">
        <v>124</v>
      </c>
      <c r="F33" s="2">
        <v>0.4</v>
      </c>
      <c r="G33" s="2">
        <v>0.35</v>
      </c>
      <c r="H33" s="2">
        <v>0.25</v>
      </c>
      <c r="I33" t="str">
        <f t="shared" si="0"/>
        <v/>
      </c>
      <c r="K33">
        <f t="shared" si="1"/>
        <v>0</v>
      </c>
    </row>
    <row r="34" spans="1:11" x14ac:dyDescent="0.25">
      <c r="A34" t="s">
        <v>125</v>
      </c>
      <c r="B34" t="s">
        <v>126</v>
      </c>
      <c r="C34" t="s">
        <v>122</v>
      </c>
      <c r="D34" t="s">
        <v>123</v>
      </c>
      <c r="E34" t="s">
        <v>124</v>
      </c>
      <c r="F34" s="2">
        <v>0.3</v>
      </c>
      <c r="G34" s="2">
        <v>0.45</v>
      </c>
      <c r="H34" s="2">
        <v>0.25</v>
      </c>
      <c r="I34" t="str">
        <f t="shared" si="0"/>
        <v/>
      </c>
      <c r="K34">
        <f t="shared" si="1"/>
        <v>0</v>
      </c>
    </row>
    <row r="35" spans="1:11" x14ac:dyDescent="0.25">
      <c r="A35" t="s">
        <v>127</v>
      </c>
      <c r="B35" t="s">
        <v>128</v>
      </c>
      <c r="C35" t="s">
        <v>122</v>
      </c>
      <c r="D35" t="s">
        <v>123</v>
      </c>
      <c r="E35" t="s">
        <v>124</v>
      </c>
      <c r="F35" s="2">
        <v>0.25</v>
      </c>
      <c r="G35" s="2">
        <v>0.5</v>
      </c>
      <c r="H35" s="2">
        <v>0.25</v>
      </c>
      <c r="I35" t="str">
        <f t="shared" si="0"/>
        <v>Away</v>
      </c>
      <c r="J35" s="6">
        <v>1.41</v>
      </c>
      <c r="K35">
        <f t="shared" si="1"/>
        <v>1410</v>
      </c>
    </row>
    <row r="36" spans="1:11" x14ac:dyDescent="0.25">
      <c r="A36" t="s">
        <v>129</v>
      </c>
      <c r="B36" t="s">
        <v>130</v>
      </c>
      <c r="C36" t="s">
        <v>122</v>
      </c>
      <c r="D36" t="s">
        <v>123</v>
      </c>
      <c r="E36" t="s">
        <v>124</v>
      </c>
      <c r="F36" s="2">
        <v>0.2</v>
      </c>
      <c r="G36" s="2">
        <v>0.6</v>
      </c>
      <c r="H36" s="2">
        <v>0.2</v>
      </c>
      <c r="I36" t="str">
        <f t="shared" si="0"/>
        <v>Away</v>
      </c>
      <c r="J36" s="6">
        <v>3.1</v>
      </c>
      <c r="K36">
        <f t="shared" si="1"/>
        <v>3100</v>
      </c>
    </row>
    <row r="37" spans="1:11" x14ac:dyDescent="0.25">
      <c r="A37" t="s">
        <v>131</v>
      </c>
      <c r="B37" t="s">
        <v>132</v>
      </c>
      <c r="C37" t="s">
        <v>122</v>
      </c>
      <c r="D37" t="s">
        <v>123</v>
      </c>
      <c r="E37" t="s">
        <v>124</v>
      </c>
      <c r="F37" s="2">
        <v>0.5</v>
      </c>
      <c r="G37" s="2">
        <v>0.25</v>
      </c>
      <c r="H37" s="2">
        <v>0.25</v>
      </c>
      <c r="I37" t="str">
        <f t="shared" si="0"/>
        <v>Home</v>
      </c>
      <c r="J37" s="6">
        <v>3.5</v>
      </c>
      <c r="K37">
        <f t="shared" si="1"/>
        <v>3500</v>
      </c>
    </row>
    <row r="38" spans="1:11" x14ac:dyDescent="0.25">
      <c r="A38" t="s">
        <v>133</v>
      </c>
      <c r="B38" t="s">
        <v>134</v>
      </c>
      <c r="C38" t="s">
        <v>122</v>
      </c>
      <c r="D38" t="s">
        <v>123</v>
      </c>
      <c r="E38" t="s">
        <v>124</v>
      </c>
      <c r="F38" s="2">
        <v>0.35</v>
      </c>
      <c r="G38" s="2">
        <v>0.4</v>
      </c>
      <c r="H38" s="2">
        <v>0.25</v>
      </c>
      <c r="I38" t="str">
        <f t="shared" si="0"/>
        <v/>
      </c>
      <c r="K38">
        <f t="shared" si="1"/>
        <v>0</v>
      </c>
    </row>
    <row r="39" spans="1:11" x14ac:dyDescent="0.25">
      <c r="A39" t="s">
        <v>135</v>
      </c>
      <c r="B39" t="s">
        <v>136</v>
      </c>
      <c r="C39" t="s">
        <v>137</v>
      </c>
      <c r="D39" t="s">
        <v>138</v>
      </c>
      <c r="E39" t="s">
        <v>124</v>
      </c>
      <c r="F39" s="2">
        <v>0.5</v>
      </c>
      <c r="G39" s="2">
        <v>0.25</v>
      </c>
      <c r="H39" s="2">
        <v>0.25</v>
      </c>
      <c r="I39" t="str">
        <f t="shared" si="0"/>
        <v>Home</v>
      </c>
      <c r="J39" s="6">
        <v>1.61</v>
      </c>
      <c r="K39">
        <f t="shared" si="1"/>
        <v>1610</v>
      </c>
    </row>
    <row r="40" spans="1:11" x14ac:dyDescent="0.25">
      <c r="A40" t="s">
        <v>139</v>
      </c>
      <c r="B40" t="s">
        <v>140</v>
      </c>
      <c r="C40" t="s">
        <v>62</v>
      </c>
      <c r="D40" t="s">
        <v>141</v>
      </c>
      <c r="E40" t="s">
        <v>124</v>
      </c>
      <c r="F40" s="2">
        <v>0.45</v>
      </c>
      <c r="G40" s="2">
        <v>0.3</v>
      </c>
      <c r="H40" s="2">
        <v>0.25</v>
      </c>
      <c r="I40" t="str">
        <f t="shared" si="0"/>
        <v/>
      </c>
      <c r="K40">
        <f t="shared" si="1"/>
        <v>0</v>
      </c>
    </row>
    <row r="41" spans="1:11" x14ac:dyDescent="0.25">
      <c r="A41" t="s">
        <v>142</v>
      </c>
      <c r="B41" t="s">
        <v>143</v>
      </c>
      <c r="C41" t="s">
        <v>144</v>
      </c>
      <c r="D41" t="s">
        <v>145</v>
      </c>
      <c r="E41" t="s">
        <v>146</v>
      </c>
      <c r="F41" s="2">
        <v>0.4</v>
      </c>
      <c r="G41" s="2">
        <v>0.35</v>
      </c>
      <c r="H41" s="2">
        <v>0.25</v>
      </c>
      <c r="I41" t="str">
        <f t="shared" si="0"/>
        <v/>
      </c>
      <c r="K41">
        <f t="shared" si="1"/>
        <v>0</v>
      </c>
    </row>
    <row r="42" spans="1:11" x14ac:dyDescent="0.25">
      <c r="A42" t="s">
        <v>147</v>
      </c>
      <c r="B42" t="s">
        <v>148</v>
      </c>
      <c r="C42" t="s">
        <v>149</v>
      </c>
      <c r="D42" t="s">
        <v>150</v>
      </c>
      <c r="E42" t="s">
        <v>151</v>
      </c>
      <c r="F42" s="2">
        <v>0.3</v>
      </c>
      <c r="G42" s="2">
        <v>0.45</v>
      </c>
      <c r="H42" s="2">
        <v>0.25</v>
      </c>
      <c r="I42" t="str">
        <f t="shared" si="0"/>
        <v/>
      </c>
      <c r="K42">
        <f t="shared" si="1"/>
        <v>0</v>
      </c>
    </row>
    <row r="43" spans="1:11" x14ac:dyDescent="0.25">
      <c r="A43" t="s">
        <v>152</v>
      </c>
      <c r="B43" t="s">
        <v>153</v>
      </c>
      <c r="C43" t="s">
        <v>118</v>
      </c>
      <c r="D43" t="s">
        <v>93</v>
      </c>
      <c r="E43" t="s">
        <v>151</v>
      </c>
      <c r="F43" s="2">
        <v>0.35</v>
      </c>
      <c r="G43" s="2">
        <v>0.45</v>
      </c>
      <c r="H43" s="2">
        <v>0.2</v>
      </c>
      <c r="I43" t="str">
        <f t="shared" si="0"/>
        <v/>
      </c>
      <c r="K43">
        <f t="shared" si="1"/>
        <v>0</v>
      </c>
    </row>
    <row r="44" spans="1:11" x14ac:dyDescent="0.25">
      <c r="A44" t="s">
        <v>154</v>
      </c>
      <c r="B44" t="s">
        <v>155</v>
      </c>
      <c r="C44" t="s">
        <v>20</v>
      </c>
      <c r="D44" t="s">
        <v>156</v>
      </c>
      <c r="E44" t="s">
        <v>151</v>
      </c>
      <c r="F44" s="2">
        <v>0.4</v>
      </c>
      <c r="G44" s="2">
        <v>0.35</v>
      </c>
      <c r="H44" s="2">
        <v>0.25</v>
      </c>
      <c r="I44" t="str">
        <f t="shared" si="0"/>
        <v/>
      </c>
      <c r="K44">
        <f t="shared" si="1"/>
        <v>0</v>
      </c>
    </row>
    <row r="45" spans="1:11" x14ac:dyDescent="0.25">
      <c r="A45" t="s">
        <v>157</v>
      </c>
      <c r="B45" t="s">
        <v>158</v>
      </c>
      <c r="C45" t="s">
        <v>76</v>
      </c>
      <c r="D45" t="s">
        <v>123</v>
      </c>
      <c r="E45" t="s">
        <v>159</v>
      </c>
      <c r="F45" s="2">
        <v>0.5</v>
      </c>
      <c r="G45" s="2">
        <v>0.25</v>
      </c>
      <c r="H45" s="2">
        <v>0.25</v>
      </c>
      <c r="I45" t="str">
        <f t="shared" si="0"/>
        <v>Home</v>
      </c>
      <c r="J45" s="6">
        <v>1.61</v>
      </c>
      <c r="K45">
        <f t="shared" si="1"/>
        <v>1610</v>
      </c>
    </row>
    <row r="46" spans="1:11" x14ac:dyDescent="0.25">
      <c r="A46" t="s">
        <v>160</v>
      </c>
      <c r="B46" t="s">
        <v>161</v>
      </c>
      <c r="C46" t="s">
        <v>162</v>
      </c>
      <c r="D46" t="s">
        <v>156</v>
      </c>
      <c r="E46" t="s">
        <v>159</v>
      </c>
      <c r="F46" s="2">
        <v>0.25</v>
      </c>
      <c r="G46" s="2">
        <v>0.55000000000000004</v>
      </c>
      <c r="H46" s="2">
        <v>0.2</v>
      </c>
      <c r="I46" t="str">
        <f t="shared" si="0"/>
        <v>Away</v>
      </c>
      <c r="J46" s="6">
        <v>1.63</v>
      </c>
      <c r="K46">
        <f t="shared" si="1"/>
        <v>1630</v>
      </c>
    </row>
    <row r="47" spans="1:11" x14ac:dyDescent="0.25">
      <c r="A47" t="s">
        <v>163</v>
      </c>
      <c r="B47" t="s">
        <v>164</v>
      </c>
      <c r="C47" t="s">
        <v>165</v>
      </c>
      <c r="D47" t="s">
        <v>166</v>
      </c>
      <c r="E47" t="s">
        <v>159</v>
      </c>
      <c r="F47" s="2">
        <v>0.4</v>
      </c>
      <c r="G47" s="2">
        <v>0.35</v>
      </c>
      <c r="H47" s="2">
        <v>0.25</v>
      </c>
      <c r="I47" t="str">
        <f t="shared" si="0"/>
        <v/>
      </c>
      <c r="K47">
        <f t="shared" si="1"/>
        <v>0</v>
      </c>
    </row>
    <row r="48" spans="1:11" x14ac:dyDescent="0.25">
      <c r="A48" t="s">
        <v>167</v>
      </c>
      <c r="B48" t="s">
        <v>168</v>
      </c>
      <c r="C48" t="s">
        <v>169</v>
      </c>
      <c r="D48" t="s">
        <v>150</v>
      </c>
      <c r="E48" t="s">
        <v>170</v>
      </c>
      <c r="F48" s="2">
        <v>0.35</v>
      </c>
      <c r="G48" s="2">
        <v>0.4</v>
      </c>
      <c r="H48" s="2">
        <v>0.25</v>
      </c>
      <c r="I48" t="str">
        <f t="shared" si="0"/>
        <v/>
      </c>
      <c r="K48">
        <f t="shared" si="1"/>
        <v>0</v>
      </c>
    </row>
    <row r="49" spans="1:13" x14ac:dyDescent="0.25">
      <c r="A49" t="s">
        <v>171</v>
      </c>
      <c r="B49" t="s">
        <v>172</v>
      </c>
      <c r="C49" t="s">
        <v>173</v>
      </c>
      <c r="D49" t="s">
        <v>174</v>
      </c>
      <c r="E49" t="s">
        <v>170</v>
      </c>
      <c r="F49" s="2">
        <v>0.45</v>
      </c>
      <c r="G49" s="2">
        <v>0.3</v>
      </c>
      <c r="H49" s="2">
        <v>0.25</v>
      </c>
      <c r="I49" t="str">
        <f t="shared" si="0"/>
        <v/>
      </c>
      <c r="K49">
        <f t="shared" si="1"/>
        <v>0</v>
      </c>
    </row>
    <row r="50" spans="1:13" x14ac:dyDescent="0.25">
      <c r="A50" t="s">
        <v>175</v>
      </c>
      <c r="B50" t="s">
        <v>176</v>
      </c>
      <c r="C50" t="s">
        <v>144</v>
      </c>
      <c r="D50" t="s">
        <v>177</v>
      </c>
      <c r="E50" t="s">
        <v>170</v>
      </c>
      <c r="F50" s="2">
        <v>0.4</v>
      </c>
      <c r="G50" s="2">
        <v>0.35</v>
      </c>
      <c r="H50" s="2">
        <v>0.25</v>
      </c>
      <c r="I50" t="str">
        <f t="shared" si="0"/>
        <v/>
      </c>
      <c r="K50">
        <f t="shared" si="1"/>
        <v>0</v>
      </c>
    </row>
    <row r="51" spans="1:13" x14ac:dyDescent="0.25">
      <c r="A51" t="s">
        <v>178</v>
      </c>
      <c r="B51" t="s">
        <v>179</v>
      </c>
      <c r="C51" t="s">
        <v>111</v>
      </c>
      <c r="D51" t="s">
        <v>112</v>
      </c>
      <c r="E51" t="s">
        <v>170</v>
      </c>
      <c r="F51" s="2">
        <v>0.35</v>
      </c>
      <c r="G51" s="2">
        <v>0.4</v>
      </c>
      <c r="H51" s="2">
        <v>0.25</v>
      </c>
      <c r="I51" t="str">
        <f t="shared" si="0"/>
        <v/>
      </c>
      <c r="K51">
        <f t="shared" si="1"/>
        <v>0</v>
      </c>
    </row>
    <row r="52" spans="1:13" x14ac:dyDescent="0.25">
      <c r="A52" t="s">
        <v>180</v>
      </c>
      <c r="B52" t="s">
        <v>181</v>
      </c>
      <c r="C52" t="s">
        <v>182</v>
      </c>
      <c r="D52" t="s">
        <v>183</v>
      </c>
      <c r="E52" t="s">
        <v>184</v>
      </c>
      <c r="F52" s="2">
        <v>0.3</v>
      </c>
      <c r="G52" s="2">
        <v>0.45</v>
      </c>
      <c r="H52" s="2">
        <v>0.25</v>
      </c>
      <c r="I52" t="str">
        <f t="shared" si="0"/>
        <v/>
      </c>
      <c r="K52">
        <f t="shared" si="1"/>
        <v>0</v>
      </c>
    </row>
    <row r="53" spans="1:13" x14ac:dyDescent="0.25">
      <c r="A53" t="s">
        <v>185</v>
      </c>
      <c r="B53" t="s">
        <v>186</v>
      </c>
      <c r="C53" t="s">
        <v>187</v>
      </c>
      <c r="D53" t="s">
        <v>8</v>
      </c>
      <c r="E53" t="s">
        <v>188</v>
      </c>
      <c r="F53" s="2">
        <v>0.35</v>
      </c>
      <c r="G53" s="2">
        <v>0.4</v>
      </c>
      <c r="H53" s="2">
        <v>0.25</v>
      </c>
      <c r="I53" t="str">
        <f t="shared" si="0"/>
        <v/>
      </c>
      <c r="K53">
        <f t="shared" si="1"/>
        <v>0</v>
      </c>
    </row>
    <row r="54" spans="1:13" x14ac:dyDescent="0.25">
      <c r="A54" t="s">
        <v>189</v>
      </c>
      <c r="B54" t="s">
        <v>190</v>
      </c>
      <c r="C54" t="s">
        <v>144</v>
      </c>
      <c r="D54" t="s">
        <v>145</v>
      </c>
      <c r="E54" t="s">
        <v>188</v>
      </c>
      <c r="F54" s="2">
        <v>0.25</v>
      </c>
      <c r="G54" s="2">
        <v>0.5</v>
      </c>
      <c r="H54" s="2">
        <v>0.25</v>
      </c>
      <c r="I54" t="str">
        <f t="shared" si="0"/>
        <v>Away</v>
      </c>
      <c r="J54" s="6">
        <v>1.8</v>
      </c>
      <c r="K54">
        <f t="shared" si="1"/>
        <v>1800</v>
      </c>
    </row>
    <row r="55" spans="1:13" x14ac:dyDescent="0.25">
      <c r="A55" t="s">
        <v>191</v>
      </c>
      <c r="B55" t="s">
        <v>192</v>
      </c>
      <c r="C55" t="s">
        <v>193</v>
      </c>
      <c r="D55" t="s">
        <v>194</v>
      </c>
      <c r="E55" t="s">
        <v>195</v>
      </c>
      <c r="F55" s="2">
        <v>0.55000000000000004</v>
      </c>
      <c r="G55" s="2">
        <v>0.2</v>
      </c>
      <c r="H55" s="2">
        <v>0.25</v>
      </c>
      <c r="I55" t="str">
        <f t="shared" si="0"/>
        <v>Home</v>
      </c>
      <c r="J55" s="6">
        <v>1.85</v>
      </c>
      <c r="K55">
        <f t="shared" si="1"/>
        <v>1850</v>
      </c>
    </row>
    <row r="56" spans="1:13" x14ac:dyDescent="0.25">
      <c r="A56" t="s">
        <v>196</v>
      </c>
      <c r="B56" t="s">
        <v>197</v>
      </c>
      <c r="C56" t="s">
        <v>198</v>
      </c>
      <c r="D56" t="s">
        <v>199</v>
      </c>
      <c r="E56" t="s">
        <v>200</v>
      </c>
      <c r="F56" s="2">
        <v>0.45</v>
      </c>
      <c r="G56" s="2">
        <v>0.3</v>
      </c>
      <c r="H56" s="2">
        <v>0.25</v>
      </c>
      <c r="I56" t="str">
        <f t="shared" si="0"/>
        <v/>
      </c>
      <c r="K56">
        <f t="shared" si="1"/>
        <v>0</v>
      </c>
    </row>
    <row r="57" spans="1:13" x14ac:dyDescent="0.25">
      <c r="A57" t="s">
        <v>201</v>
      </c>
      <c r="B57" t="s">
        <v>202</v>
      </c>
      <c r="C57" t="s">
        <v>187</v>
      </c>
      <c r="D57" t="s">
        <v>8</v>
      </c>
      <c r="E57" t="s">
        <v>203</v>
      </c>
      <c r="F57" s="2">
        <v>0.35</v>
      </c>
      <c r="G57" s="2">
        <v>0.4</v>
      </c>
      <c r="H57" s="2">
        <v>0.25</v>
      </c>
      <c r="I57" t="str">
        <f t="shared" si="0"/>
        <v/>
      </c>
      <c r="K57">
        <f t="shared" si="1"/>
        <v>0</v>
      </c>
    </row>
    <row r="58" spans="1:13" x14ac:dyDescent="0.25">
      <c r="A58" t="s">
        <v>204</v>
      </c>
      <c r="B58" t="s">
        <v>205</v>
      </c>
      <c r="C58" t="s">
        <v>144</v>
      </c>
      <c r="D58" t="s">
        <v>206</v>
      </c>
      <c r="E58" t="s">
        <v>203</v>
      </c>
      <c r="F58" s="2">
        <v>0.5</v>
      </c>
      <c r="G58" s="2">
        <v>0.25</v>
      </c>
      <c r="H58" s="2">
        <v>0.25</v>
      </c>
      <c r="I58" t="str">
        <f t="shared" si="0"/>
        <v>Home</v>
      </c>
      <c r="J58" s="6">
        <v>2.15</v>
      </c>
      <c r="K58">
        <f t="shared" si="1"/>
        <v>2150</v>
      </c>
    </row>
    <row r="59" spans="1:13" x14ac:dyDescent="0.25">
      <c r="A59" t="s">
        <v>207</v>
      </c>
      <c r="B59" t="s">
        <v>208</v>
      </c>
      <c r="C59" t="s">
        <v>7</v>
      </c>
      <c r="D59" t="s">
        <v>8</v>
      </c>
      <c r="E59" t="s">
        <v>203</v>
      </c>
      <c r="F59" s="2">
        <v>0.3</v>
      </c>
      <c r="G59" s="2">
        <v>0.45</v>
      </c>
      <c r="H59" s="2">
        <v>0.25</v>
      </c>
      <c r="I59" t="str">
        <f t="shared" si="0"/>
        <v/>
      </c>
      <c r="K59">
        <f t="shared" si="1"/>
        <v>0</v>
      </c>
    </row>
    <row r="60" spans="1:13" x14ac:dyDescent="0.25">
      <c r="A60" t="s">
        <v>209</v>
      </c>
      <c r="B60" t="s">
        <v>210</v>
      </c>
      <c r="C60" t="s">
        <v>144</v>
      </c>
      <c r="D60" t="s">
        <v>177</v>
      </c>
      <c r="E60" t="s">
        <v>203</v>
      </c>
      <c r="F60" s="2">
        <v>0.4</v>
      </c>
      <c r="G60" s="2">
        <v>0.35</v>
      </c>
      <c r="H60" s="2">
        <v>0.25</v>
      </c>
      <c r="I60" t="str">
        <f t="shared" si="0"/>
        <v/>
      </c>
      <c r="K60">
        <f t="shared" si="1"/>
        <v>0</v>
      </c>
    </row>
    <row r="61" spans="1:13" x14ac:dyDescent="0.25">
      <c r="K61" s="7">
        <f>+SUM(K2:K60)</f>
        <v>34920</v>
      </c>
      <c r="L61" s="7">
        <f>COUNT(J2:J60)*N2</f>
        <v>22000</v>
      </c>
      <c r="M61" s="8">
        <f>+K61-L61</f>
        <v>12920</v>
      </c>
    </row>
    <row r="62" spans="1:13" x14ac:dyDescent="0.25">
      <c r="K62" t="s">
        <v>219</v>
      </c>
      <c r="L62" t="s">
        <v>220</v>
      </c>
      <c r="M62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Paruma Fajardo</cp:lastModifiedBy>
  <dcterms:created xsi:type="dcterms:W3CDTF">2025-04-10T19:44:53Z</dcterms:created>
  <dcterms:modified xsi:type="dcterms:W3CDTF">2025-04-11T16:50:33Z</dcterms:modified>
</cp:coreProperties>
</file>