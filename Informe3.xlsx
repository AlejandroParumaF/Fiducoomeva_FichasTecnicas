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lpf0069\Desktop\API\"/>
    </mc:Choice>
  </mc:AlternateContent>
  <xr:revisionPtr revIDLastSave="0" documentId="13_ncr:1_{0AF17F43-05E3-47C4-A6C7-05A89D31D5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7" i="1"/>
  <c r="J16" i="1"/>
  <c r="J22" i="1"/>
  <c r="J18" i="1"/>
  <c r="J20" i="1"/>
  <c r="J21" i="1"/>
  <c r="J23" i="1"/>
  <c r="J19" i="1"/>
  <c r="J24" i="1"/>
  <c r="J25" i="1"/>
  <c r="J26" i="1"/>
  <c r="J27" i="1"/>
  <c r="J28" i="1"/>
  <c r="J29" i="1"/>
  <c r="J31" i="1"/>
  <c r="J30" i="1"/>
  <c r="J32" i="1"/>
  <c r="J33" i="1"/>
  <c r="J35" i="1"/>
  <c r="J34" i="1"/>
  <c r="J36" i="1"/>
  <c r="J37" i="1"/>
  <c r="J39" i="1"/>
  <c r="J38" i="1"/>
  <c r="J4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7" i="1"/>
  <c r="I16" i="1"/>
  <c r="I22" i="1"/>
  <c r="I18" i="1"/>
  <c r="I20" i="1"/>
  <c r="I21" i="1"/>
  <c r="I23" i="1"/>
  <c r="I19" i="1"/>
  <c r="I24" i="1"/>
  <c r="I25" i="1"/>
  <c r="I26" i="1"/>
  <c r="I27" i="1"/>
  <c r="I28" i="1"/>
  <c r="I29" i="1"/>
  <c r="I31" i="1"/>
  <c r="I30" i="1"/>
  <c r="I32" i="1"/>
  <c r="I33" i="1"/>
  <c r="I35" i="1"/>
  <c r="I34" i="1"/>
  <c r="I36" i="1"/>
  <c r="I37" i="1"/>
  <c r="I39" i="1"/>
  <c r="I38" i="1"/>
  <c r="I40" i="1"/>
  <c r="J2" i="1"/>
  <c r="I2" i="1"/>
</calcChain>
</file>

<file path=xl/sharedStrings.xml><?xml version="1.0" encoding="utf-8"?>
<sst xmlns="http://schemas.openxmlformats.org/spreadsheetml/2006/main" count="208" uniqueCount="153">
  <si>
    <t>Home</t>
  </si>
  <si>
    <t>Away</t>
  </si>
  <si>
    <t>League</t>
  </si>
  <si>
    <t>Country</t>
  </si>
  <si>
    <t>Time</t>
  </si>
  <si>
    <t>Inhulets</t>
  </si>
  <si>
    <t>Karpaty</t>
  </si>
  <si>
    <t>Premier League</t>
  </si>
  <si>
    <t>Ukraine</t>
  </si>
  <si>
    <t>07:30</t>
  </si>
  <si>
    <t>Napredak</t>
  </si>
  <si>
    <t>Tekstilac Odžaci</t>
  </si>
  <si>
    <t>Super Liga</t>
  </si>
  <si>
    <t>Serbia</t>
  </si>
  <si>
    <t>09:00</t>
  </si>
  <si>
    <t>FC Botosani</t>
  </si>
  <si>
    <t>Oţelul</t>
  </si>
  <si>
    <t>Liga I</t>
  </si>
  <si>
    <t>Romania</t>
  </si>
  <si>
    <t>09:30</t>
  </si>
  <si>
    <t>NK Domzale</t>
  </si>
  <si>
    <t>Radomlje</t>
  </si>
  <si>
    <t>1. SNL</t>
  </si>
  <si>
    <t>Slovenia</t>
  </si>
  <si>
    <t>10:30</t>
  </si>
  <si>
    <t>Železničar Pančevo</t>
  </si>
  <si>
    <t>Jedinstvo Ub</t>
  </si>
  <si>
    <t>11:00</t>
  </si>
  <si>
    <t>Eyüpspor</t>
  </si>
  <si>
    <t>Adana Demirspor</t>
  </si>
  <si>
    <t>Süper Lig</t>
  </si>
  <si>
    <t>Turkey</t>
  </si>
  <si>
    <t>12:00</t>
  </si>
  <si>
    <t>Halmstad</t>
  </si>
  <si>
    <t>Osters IF</t>
  </si>
  <si>
    <t>Allsvenskan</t>
  </si>
  <si>
    <t>Sweden</t>
  </si>
  <si>
    <t>Sonderjyske</t>
  </si>
  <si>
    <t>Vejle</t>
  </si>
  <si>
    <t>Superliga</t>
  </si>
  <si>
    <t>Denmark</t>
  </si>
  <si>
    <t>Moghreb Tetouan</t>
  </si>
  <si>
    <t>Ittihad Tanger</t>
  </si>
  <si>
    <t>Botola Pro</t>
  </si>
  <si>
    <t>Morocco</t>
  </si>
  <si>
    <t>AIK Stockholm</t>
  </si>
  <si>
    <t>Malmo FF</t>
  </si>
  <si>
    <t>12:10</t>
  </si>
  <si>
    <t>CFR 1907 Cluj</t>
  </si>
  <si>
    <t>Rapid</t>
  </si>
  <si>
    <t>12:30</t>
  </si>
  <si>
    <t>Huesca</t>
  </si>
  <si>
    <t>Malaga</t>
  </si>
  <si>
    <t>Segunda División</t>
  </si>
  <si>
    <t>Spain</t>
  </si>
  <si>
    <t>13:30</t>
  </si>
  <si>
    <t>Aldosivi</t>
  </si>
  <si>
    <t>Racing Club</t>
  </si>
  <si>
    <t>Liga Profesional Argentina</t>
  </si>
  <si>
    <t>Argentina</t>
  </si>
  <si>
    <t>Racing Montevideo</t>
  </si>
  <si>
    <t>Liverpool Montevideo</t>
  </si>
  <si>
    <t>Primera División - Apertura</t>
  </si>
  <si>
    <t>Uruguay</t>
  </si>
  <si>
    <t>Bastia</t>
  </si>
  <si>
    <t>Laval</t>
  </si>
  <si>
    <t>Ligue 2</t>
  </si>
  <si>
    <t>France</t>
  </si>
  <si>
    <t>13:45</t>
  </si>
  <si>
    <t>Napoli</t>
  </si>
  <si>
    <t>Empoli</t>
  </si>
  <si>
    <t>Serie A</t>
  </si>
  <si>
    <t>Italy</t>
  </si>
  <si>
    <t>Bournemouth</t>
  </si>
  <si>
    <t>Fulham</t>
  </si>
  <si>
    <t>England</t>
  </si>
  <si>
    <t>14:00</t>
  </si>
  <si>
    <t>Atletico Madrid</t>
  </si>
  <si>
    <t>Valladolid</t>
  </si>
  <si>
    <t>La Liga</t>
  </si>
  <si>
    <t>Hull City</t>
  </si>
  <si>
    <t>Coventry</t>
  </si>
  <si>
    <t>Championship</t>
  </si>
  <si>
    <t>Real Santander</t>
  </si>
  <si>
    <t>Primera B</t>
  </si>
  <si>
    <t>Colombia</t>
  </si>
  <si>
    <t>Mushuc Runa SC</t>
  </si>
  <si>
    <t>LDU de Quito</t>
  </si>
  <si>
    <t>Liga Pro</t>
  </si>
  <si>
    <t>Ecuador</t>
  </si>
  <si>
    <t>Palestino</t>
  </si>
  <si>
    <t>Union La Calera</t>
  </si>
  <si>
    <t>Primera División</t>
  </si>
  <si>
    <t>Chile</t>
  </si>
  <si>
    <t>Stjarnan</t>
  </si>
  <si>
    <t>IA Akranes</t>
  </si>
  <si>
    <t>Úrvalsdeild</t>
  </si>
  <si>
    <t>Iceland</t>
  </si>
  <si>
    <t>14:15</t>
  </si>
  <si>
    <t>KR Reykjavik</t>
  </si>
  <si>
    <t>Valur Reykjavik</t>
  </si>
  <si>
    <t>Central Cordoba de Santiago</t>
  </si>
  <si>
    <t>Huracan</t>
  </si>
  <si>
    <t>16:00</t>
  </si>
  <si>
    <t>Tigres FC</t>
  </si>
  <si>
    <t>Defensor Sporting</t>
  </si>
  <si>
    <t>Cerro</t>
  </si>
  <si>
    <t>Deportivo Recoleta</t>
  </si>
  <si>
    <t>Libertad Asuncion</t>
  </si>
  <si>
    <t>Division Profesional - Apertura</t>
  </si>
  <si>
    <t>Paraguay</t>
  </si>
  <si>
    <t>16:30</t>
  </si>
  <si>
    <t>El Nacional</t>
  </si>
  <si>
    <t>Independiente del Valle</t>
  </si>
  <si>
    <t>Nacional Potosí</t>
  </si>
  <si>
    <t>Guabirá</t>
  </si>
  <si>
    <t>Bolivia</t>
  </si>
  <si>
    <t>Defensa Y Justicia</t>
  </si>
  <si>
    <t>Union Santa Fe</t>
  </si>
  <si>
    <t>17:00</t>
  </si>
  <si>
    <t>Union Espanola</t>
  </si>
  <si>
    <t>Nublense</t>
  </si>
  <si>
    <t>Santa Fe</t>
  </si>
  <si>
    <t>Independiente Medellin</t>
  </si>
  <si>
    <t>Primera A</t>
  </si>
  <si>
    <t>19:00</t>
  </si>
  <si>
    <t>Orense SC</t>
  </si>
  <si>
    <t>Barcelona SC</t>
  </si>
  <si>
    <t>Velez Sarsfield</t>
  </si>
  <si>
    <t>Sarmiento Junin</t>
  </si>
  <si>
    <t>19:15</t>
  </si>
  <si>
    <t>Godoy Cruz</t>
  </si>
  <si>
    <t>Lanus</t>
  </si>
  <si>
    <t>Deportes Limache</t>
  </si>
  <si>
    <t>Deportes Iquique</t>
  </si>
  <si>
    <t>19:30</t>
  </si>
  <si>
    <t>Deportivo Garcilaso</t>
  </si>
  <si>
    <t>Alianza Lima</t>
  </si>
  <si>
    <t>Peru</t>
  </si>
  <si>
    <t>UMECIT</t>
  </si>
  <si>
    <t>Deportivo Universitario</t>
  </si>
  <si>
    <t>Liga Panameña de Fútbol</t>
  </si>
  <si>
    <t>Panama</t>
  </si>
  <si>
    <t>20:30</t>
  </si>
  <si>
    <t>% Home</t>
  </si>
  <si>
    <t>% Away</t>
  </si>
  <si>
    <t>% Draw</t>
  </si>
  <si>
    <t>Win/Draw</t>
  </si>
  <si>
    <t>%</t>
  </si>
  <si>
    <t>Total</t>
  </si>
  <si>
    <t>Aciertos</t>
  </si>
  <si>
    <t>Atletico FC</t>
  </si>
  <si>
    <t>Boca Juniors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</si>
</sst>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9" fontId="3" fillId="0" borderId="2" xfId="1" applyFont="1" applyFill="1" applyBorder="1" applyAlignment="1">
      <alignment horizontal="center" vertical="top"/>
    </xf>
    <xf numFmtId="9" fontId="0" fillId="0" borderId="0" xfId="1" applyFon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0" borderId="0" xfId="0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25" workbookViewId="0">
      <selection activeCell="F35" sqref="F35"/>
    </sheetView>
  </sheetViews>
  <sheetFormatPr baseColWidth="10" defaultColWidth="8.85546875" defaultRowHeight="15" x14ac:dyDescent="0.25"/>
  <cols>
    <col min="1" max="1" width="24.42578125" bestFit="1" customWidth="1"/>
    <col min="2" max="2" width="20.28515625" bestFit="1" customWidth="1"/>
    <col min="3" max="3" width="25.85546875" bestFit="1" customWidth="1"/>
    <col min="4" max="4" width="8.7109375" bestFit="1" customWidth="1"/>
    <col min="5" max="5" width="5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144</v>
      </c>
      <c r="G1" s="2" t="s">
        <v>145</v>
      </c>
      <c r="H1" s="2" t="s">
        <v>146</v>
      </c>
      <c r="I1" s="2" t="s">
        <v>147</v>
      </c>
      <c r="J1" s="3" t="s">
        <v>148</v>
      </c>
    </row>
    <row r="2" spans="1:1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30</v>
      </c>
      <c r="G2">
        <v>35</v>
      </c>
      <c r="H2">
        <v>35</v>
      </c>
      <c r="I2" s="5" t="str">
        <f>IF(F2+H2&lt;G2+H2,"AWAY","HOME")</f>
        <v>AWAY</v>
      </c>
      <c r="J2" s="4">
        <f>+IF((F2&gt;G2),(F2+H2)/100,(G2+H2)/100)</f>
        <v>0.7</v>
      </c>
      <c r="M2" t="s">
        <v>149</v>
      </c>
      <c r="N2" t="s">
        <v>150</v>
      </c>
      <c r="O2" t="s">
        <v>148</v>
      </c>
    </row>
    <row r="3" spans="1:1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40</v>
      </c>
      <c r="G3">
        <v>25</v>
      </c>
      <c r="H3">
        <v>35</v>
      </c>
      <c r="I3" s="6" t="str">
        <f>IF(F3+H3&lt;G3+H3,"AWAY","HOME")</f>
        <v>HOME</v>
      </c>
      <c r="J3" s="4">
        <f>+IF((F3&gt;G3),(F3+H3)/100,(G3+H3)/100)</f>
        <v>0.75</v>
      </c>
      <c r="M3">
        <v>24</v>
      </c>
      <c r="N3">
        <v>20</v>
      </c>
      <c r="O3" s="9">
        <f>+((100/M3)*N3)/100</f>
        <v>0.83333333333333348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35</v>
      </c>
      <c r="G4">
        <v>30</v>
      </c>
      <c r="H4">
        <v>35</v>
      </c>
      <c r="I4" s="6" t="str">
        <f>IF(F4+H4&lt;G4+H4,"AWAY","HOME")</f>
        <v>HOME</v>
      </c>
      <c r="J4" s="4">
        <f>+IF((F4&gt;G4),(F4+H4)/100,(G4+H4)/100)</f>
        <v>0.7</v>
      </c>
    </row>
    <row r="5" spans="1:1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30</v>
      </c>
      <c r="G5">
        <v>35</v>
      </c>
      <c r="H5">
        <v>35</v>
      </c>
      <c r="I5" s="5" t="str">
        <f>IF(F5+H5&lt;G5+H5,"AWAY","HOME")</f>
        <v>AWAY</v>
      </c>
      <c r="J5" s="4">
        <f>+IF((F5&gt;G5),(F5+H5)/100,(G5+H5)/100)</f>
        <v>0.7</v>
      </c>
    </row>
    <row r="6" spans="1:15" x14ac:dyDescent="0.25">
      <c r="A6" t="s">
        <v>25</v>
      </c>
      <c r="B6" t="s">
        <v>26</v>
      </c>
      <c r="C6" t="s">
        <v>12</v>
      </c>
      <c r="D6" t="s">
        <v>13</v>
      </c>
      <c r="E6" t="s">
        <v>27</v>
      </c>
      <c r="F6">
        <v>60</v>
      </c>
      <c r="G6">
        <v>15</v>
      </c>
      <c r="H6">
        <v>25</v>
      </c>
      <c r="I6" s="5" t="str">
        <f>IF(F6+H6&lt;G6+H6,"AWAY","HOME")</f>
        <v>HOME</v>
      </c>
      <c r="J6" s="4">
        <f>+IF((F6&gt;G6),(F6+H6)/100,(G6+H6)/100)</f>
        <v>0.85</v>
      </c>
    </row>
    <row r="7" spans="1:1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65</v>
      </c>
      <c r="G7">
        <v>15</v>
      </c>
      <c r="H7">
        <v>20</v>
      </c>
      <c r="I7" s="5" t="str">
        <f>IF(F7+H7&lt;G7+H7,"AWAY","HOME")</f>
        <v>HOME</v>
      </c>
      <c r="J7" s="4">
        <f>+IF((F7&gt;G7),(F7+H7)/100,(G7+H7)/100)</f>
        <v>0.85</v>
      </c>
    </row>
    <row r="8" spans="1:15" x14ac:dyDescent="0.25">
      <c r="A8" t="s">
        <v>33</v>
      </c>
      <c r="B8" t="s">
        <v>34</v>
      </c>
      <c r="C8" t="s">
        <v>35</v>
      </c>
      <c r="D8" t="s">
        <v>36</v>
      </c>
      <c r="E8" t="s">
        <v>32</v>
      </c>
      <c r="F8">
        <v>45</v>
      </c>
      <c r="G8">
        <v>30</v>
      </c>
      <c r="H8">
        <v>30</v>
      </c>
      <c r="I8" s="5" t="str">
        <f>IF(F8+H8&lt;G8+H8,"AWAY","HOME")</f>
        <v>HOME</v>
      </c>
      <c r="J8" s="4">
        <f>+IF((F8&gt;G8),(F8+H8)/100,(G8+H8)/100)</f>
        <v>0.75</v>
      </c>
    </row>
    <row r="9" spans="1:15" x14ac:dyDescent="0.25">
      <c r="A9" t="s">
        <v>37</v>
      </c>
      <c r="B9" t="s">
        <v>38</v>
      </c>
      <c r="C9" t="s">
        <v>39</v>
      </c>
      <c r="D9" t="s">
        <v>40</v>
      </c>
      <c r="E9" t="s">
        <v>32</v>
      </c>
      <c r="F9">
        <v>40</v>
      </c>
      <c r="G9">
        <v>30</v>
      </c>
      <c r="H9">
        <v>30</v>
      </c>
      <c r="I9" s="5" t="str">
        <f>IF(F9+H9&lt;G9+H9,"AWAY","HOME")</f>
        <v>HOME</v>
      </c>
      <c r="J9" s="4">
        <f>+IF((F9&gt;G9),(F9+H9)/100,(G9+H9)/100)</f>
        <v>0.7</v>
      </c>
    </row>
    <row r="10" spans="1:15" x14ac:dyDescent="0.25">
      <c r="A10" t="s">
        <v>41</v>
      </c>
      <c r="B10" t="s">
        <v>42</v>
      </c>
      <c r="C10" t="s">
        <v>43</v>
      </c>
      <c r="D10" t="s">
        <v>44</v>
      </c>
      <c r="E10" t="s">
        <v>32</v>
      </c>
      <c r="F10">
        <v>35</v>
      </c>
      <c r="G10">
        <v>25</v>
      </c>
      <c r="H10">
        <v>40</v>
      </c>
      <c r="I10" s="5" t="str">
        <f>IF(F10+H10&lt;G10+H10,"AWAY","HOME")</f>
        <v>HOME</v>
      </c>
      <c r="J10" s="4">
        <f>+IF((F10&gt;G10),(F10+H10)/100,(G10+H10)/100)</f>
        <v>0.75</v>
      </c>
    </row>
    <row r="11" spans="1:15" x14ac:dyDescent="0.25">
      <c r="A11" t="s">
        <v>45</v>
      </c>
      <c r="B11" t="s">
        <v>46</v>
      </c>
      <c r="C11" t="s">
        <v>35</v>
      </c>
      <c r="D11" t="s">
        <v>36</v>
      </c>
      <c r="E11" t="s">
        <v>47</v>
      </c>
      <c r="F11">
        <v>25</v>
      </c>
      <c r="G11">
        <v>35</v>
      </c>
      <c r="H11">
        <v>40</v>
      </c>
      <c r="I11" s="5" t="str">
        <f>IF(F11+H11&lt;G11+H11,"AWAY","HOME")</f>
        <v>AWAY</v>
      </c>
      <c r="J11" s="4">
        <f>+IF((F11&gt;G11),(F11+H11)/100,(G11+H11)/100)</f>
        <v>0.75</v>
      </c>
    </row>
    <row r="12" spans="1:15" x14ac:dyDescent="0.25">
      <c r="A12" s="8" t="s">
        <v>48</v>
      </c>
      <c r="B12" t="s">
        <v>49</v>
      </c>
      <c r="C12" t="s">
        <v>17</v>
      </c>
      <c r="D12" t="s">
        <v>18</v>
      </c>
      <c r="E12" t="s">
        <v>50</v>
      </c>
      <c r="F12">
        <v>50</v>
      </c>
      <c r="G12">
        <v>20</v>
      </c>
      <c r="H12">
        <v>30</v>
      </c>
      <c r="I12" s="5" t="str">
        <f>IF(F12+H12&lt;G12+H12,"AWAY","HOME")</f>
        <v>HOME</v>
      </c>
      <c r="J12" s="4">
        <f>+IF((F12&gt;G12),(F12+H12)/100,(G12+H12)/100)</f>
        <v>0.8</v>
      </c>
    </row>
    <row r="13" spans="1:1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>
        <v>45</v>
      </c>
      <c r="G13">
        <v>25</v>
      </c>
      <c r="H13">
        <v>30</v>
      </c>
      <c r="I13" s="5" t="str">
        <f>IF(F13+H13&lt;G13+H13,"AWAY","HOME")</f>
        <v>HOME</v>
      </c>
      <c r="J13" s="4">
        <f>+IF((F13&gt;G13),(F13+H13)/100,(G13+H13)/100)</f>
        <v>0.75</v>
      </c>
    </row>
    <row r="14" spans="1:15" x14ac:dyDescent="0.25">
      <c r="A14" t="s">
        <v>56</v>
      </c>
      <c r="B14" t="s">
        <v>57</v>
      </c>
      <c r="C14" t="s">
        <v>58</v>
      </c>
      <c r="D14" t="s">
        <v>59</v>
      </c>
      <c r="E14" t="s">
        <v>55</v>
      </c>
      <c r="F14">
        <v>25</v>
      </c>
      <c r="G14">
        <v>40</v>
      </c>
      <c r="H14">
        <v>35</v>
      </c>
      <c r="I14" s="5" t="str">
        <f>IF(F14+H14&lt;G14+H14,"AWAY","HOME")</f>
        <v>AWAY</v>
      </c>
      <c r="J14" s="4">
        <f>+IF((F14&gt;G14),(F14+H14)/100,(G14+H14)/100)</f>
        <v>0.75</v>
      </c>
    </row>
    <row r="15" spans="1:15" x14ac:dyDescent="0.25">
      <c r="A15" t="s">
        <v>60</v>
      </c>
      <c r="B15" t="s">
        <v>61</v>
      </c>
      <c r="C15" t="s">
        <v>62</v>
      </c>
      <c r="D15" t="s">
        <v>63</v>
      </c>
      <c r="E15" t="s">
        <v>55</v>
      </c>
      <c r="F15">
        <v>35</v>
      </c>
      <c r="G15">
        <v>30</v>
      </c>
      <c r="H15">
        <v>35</v>
      </c>
      <c r="I15" s="5" t="str">
        <f>IF(F15+H15&lt;G15+H15,"AWAY","HOME")</f>
        <v>HOME</v>
      </c>
      <c r="J15" s="4">
        <f>+IF((F15&gt;G15),(F15+H15)/100,(G15+H15)/100)</f>
        <v>0.7</v>
      </c>
    </row>
    <row r="16" spans="1:15" x14ac:dyDescent="0.25">
      <c r="A16" s="7" t="s">
        <v>69</v>
      </c>
      <c r="B16" t="s">
        <v>70</v>
      </c>
      <c r="C16" t="s">
        <v>71</v>
      </c>
      <c r="D16" t="s">
        <v>72</v>
      </c>
      <c r="E16" t="s">
        <v>68</v>
      </c>
      <c r="F16">
        <v>60</v>
      </c>
      <c r="G16">
        <v>15</v>
      </c>
      <c r="H16">
        <v>25</v>
      </c>
      <c r="I16" s="5" t="str">
        <f>IF(F16+H16&lt;G16+H16,"AWAY","HOME")</f>
        <v>HOME</v>
      </c>
      <c r="J16" s="4">
        <f>+IF((F16&gt;G16),(F16+H16)/100,(G16+H16)/100)</f>
        <v>0.85</v>
      </c>
    </row>
    <row r="17" spans="1:10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>
        <v>45</v>
      </c>
      <c r="G17">
        <v>30</v>
      </c>
      <c r="H17">
        <v>25</v>
      </c>
      <c r="I17" s="5" t="str">
        <f>IF(F17+H17&lt;G17+H17,"AWAY","HOME")</f>
        <v>HOME</v>
      </c>
      <c r="J17" s="4">
        <f>+IF((F17&gt;G17),(F17+H17)/100,(G17+H17)/100)</f>
        <v>0.7</v>
      </c>
    </row>
    <row r="18" spans="1:10" x14ac:dyDescent="0.25">
      <c r="A18" s="7" t="s">
        <v>77</v>
      </c>
      <c r="B18" t="s">
        <v>78</v>
      </c>
      <c r="C18" t="s">
        <v>79</v>
      </c>
      <c r="D18" t="s">
        <v>54</v>
      </c>
      <c r="E18" t="s">
        <v>76</v>
      </c>
      <c r="F18">
        <v>60</v>
      </c>
      <c r="G18">
        <v>15</v>
      </c>
      <c r="H18">
        <v>25</v>
      </c>
      <c r="I18" s="5" t="str">
        <f>IF(F18+H18&lt;G18+H18,"AWAY","HOME")</f>
        <v>HOME</v>
      </c>
      <c r="J18" s="4">
        <f>+IF((F18&gt;G18),(F18+H18)/100,(G18+H18)/100)</f>
        <v>0.85</v>
      </c>
    </row>
    <row r="19" spans="1:10" x14ac:dyDescent="0.25">
      <c r="A19" t="s">
        <v>90</v>
      </c>
      <c r="B19" t="s">
        <v>91</v>
      </c>
      <c r="C19" t="s">
        <v>92</v>
      </c>
      <c r="D19" t="s">
        <v>93</v>
      </c>
      <c r="E19" t="s">
        <v>76</v>
      </c>
      <c r="F19">
        <v>45</v>
      </c>
      <c r="G19">
        <v>20</v>
      </c>
      <c r="H19">
        <v>35</v>
      </c>
      <c r="I19" s="5" t="str">
        <f>IF(F19+H19&lt;G19+H19,"AWAY","HOME")</f>
        <v>HOME</v>
      </c>
      <c r="J19" s="4">
        <f>+IF((F19&gt;G19),(F19+H19)/100,(G19+H19)/100)</f>
        <v>0.8</v>
      </c>
    </row>
    <row r="20" spans="1:10" x14ac:dyDescent="0.25">
      <c r="A20" t="s">
        <v>80</v>
      </c>
      <c r="B20" t="s">
        <v>81</v>
      </c>
      <c r="C20" t="s">
        <v>82</v>
      </c>
      <c r="D20" t="s">
        <v>75</v>
      </c>
      <c r="E20" t="s">
        <v>76</v>
      </c>
      <c r="F20">
        <v>30</v>
      </c>
      <c r="G20">
        <v>40</v>
      </c>
      <c r="H20">
        <v>30</v>
      </c>
      <c r="I20" s="5" t="str">
        <f>IF(F20+H20&lt;G20+H20,"AWAY","HOME")</f>
        <v>AWAY</v>
      </c>
      <c r="J20" s="4">
        <f>+IF((F20&gt;G20),(F20+H20)/100,(G20+H20)/100)</f>
        <v>0.7</v>
      </c>
    </row>
    <row r="21" spans="1:10" x14ac:dyDescent="0.25">
      <c r="A21" t="s">
        <v>151</v>
      </c>
      <c r="B21" t="s">
        <v>83</v>
      </c>
      <c r="C21" t="s">
        <v>84</v>
      </c>
      <c r="D21" t="s">
        <v>85</v>
      </c>
      <c r="E21" t="s">
        <v>76</v>
      </c>
      <c r="F21">
        <v>30</v>
      </c>
      <c r="G21">
        <v>35</v>
      </c>
      <c r="H21">
        <v>35</v>
      </c>
      <c r="I21" s="6" t="str">
        <f>IF(F21+H21&lt;G21+H21,"AWAY","HOME")</f>
        <v>AWAY</v>
      </c>
      <c r="J21" s="4">
        <f>+IF((F21&gt;G21),(F21+H21)/100,(G21+H21)/100)</f>
        <v>0.7</v>
      </c>
    </row>
    <row r="22" spans="1:10" x14ac:dyDescent="0.25">
      <c r="A22" t="s">
        <v>73</v>
      </c>
      <c r="B22" t="s">
        <v>74</v>
      </c>
      <c r="C22" t="s">
        <v>7</v>
      </c>
      <c r="D22" t="s">
        <v>75</v>
      </c>
      <c r="E22" t="s">
        <v>76</v>
      </c>
      <c r="F22">
        <v>45</v>
      </c>
      <c r="G22">
        <v>25</v>
      </c>
      <c r="H22">
        <v>30</v>
      </c>
      <c r="I22" s="5" t="str">
        <f>IF(F22+H22&lt;G22+H22,"AWAY","HOME")</f>
        <v>HOME</v>
      </c>
      <c r="J22" s="4">
        <f>+IF((F22&gt;G22),(F22+H22)/100,(G22+H22)/100)</f>
        <v>0.75</v>
      </c>
    </row>
    <row r="23" spans="1:10" x14ac:dyDescent="0.25">
      <c r="A23" t="s">
        <v>86</v>
      </c>
      <c r="B23" t="s">
        <v>87</v>
      </c>
      <c r="C23" t="s">
        <v>88</v>
      </c>
      <c r="D23" t="s">
        <v>89</v>
      </c>
      <c r="E23" t="s">
        <v>76</v>
      </c>
      <c r="F23">
        <v>25</v>
      </c>
      <c r="G23">
        <v>40</v>
      </c>
      <c r="H23">
        <v>35</v>
      </c>
      <c r="I23" s="6" t="str">
        <f>IF(F23+H23&lt;G23+H23,"AWAY","HOME")</f>
        <v>AWAY</v>
      </c>
      <c r="J23" s="4">
        <f>+IF((F23&gt;G23),(F23+H23)/100,(G23+H23)/100)</f>
        <v>0.75</v>
      </c>
    </row>
    <row r="24" spans="1:10" x14ac:dyDescent="0.25">
      <c r="A24" s="7" t="s">
        <v>94</v>
      </c>
      <c r="B24" t="s">
        <v>95</v>
      </c>
      <c r="C24" t="s">
        <v>96</v>
      </c>
      <c r="D24" t="s">
        <v>97</v>
      </c>
      <c r="E24" t="s">
        <v>98</v>
      </c>
      <c r="F24">
        <v>50</v>
      </c>
      <c r="G24">
        <v>20</v>
      </c>
      <c r="H24">
        <v>30</v>
      </c>
      <c r="I24" s="5" t="str">
        <f>IF(F24+H24&lt;G24+H24,"AWAY","HOME")</f>
        <v>HOME</v>
      </c>
      <c r="J24" s="4">
        <f>+IF((F24&gt;G24),(F24+H24)/100,(G24+H24)/100)</f>
        <v>0.8</v>
      </c>
    </row>
    <row r="25" spans="1:10" x14ac:dyDescent="0.25">
      <c r="A25" t="s">
        <v>99</v>
      </c>
      <c r="B25" t="s">
        <v>100</v>
      </c>
      <c r="C25" t="s">
        <v>96</v>
      </c>
      <c r="D25" t="s">
        <v>97</v>
      </c>
      <c r="E25" t="s">
        <v>98</v>
      </c>
      <c r="F25">
        <v>30</v>
      </c>
      <c r="G25">
        <v>40</v>
      </c>
      <c r="H25">
        <v>30</v>
      </c>
      <c r="I25" s="5" t="str">
        <f>IF(F25+H25&lt;G25+H25,"AWAY","HOME")</f>
        <v>AWAY</v>
      </c>
      <c r="J25" s="4">
        <f>+IF((F25&gt;G25),(F25+H25)/100,(G25+H25)/100)</f>
        <v>0.7</v>
      </c>
    </row>
    <row r="26" spans="1:10" x14ac:dyDescent="0.25">
      <c r="A26" t="s">
        <v>101</v>
      </c>
      <c r="B26" t="s">
        <v>102</v>
      </c>
      <c r="C26" t="s">
        <v>58</v>
      </c>
      <c r="D26" t="s">
        <v>59</v>
      </c>
      <c r="E26" t="s">
        <v>103</v>
      </c>
      <c r="F26">
        <v>30</v>
      </c>
      <c r="G26">
        <v>35</v>
      </c>
      <c r="H26">
        <v>35</v>
      </c>
      <c r="I26" t="str">
        <f>IF(F26+H26&lt;G26+H26,"AWAY","HOME")</f>
        <v>AWAY</v>
      </c>
      <c r="J26" s="4">
        <f>+IF((F26&gt;G26),(F26+H26)/100,(G26+H26)/100)</f>
        <v>0.7</v>
      </c>
    </row>
    <row r="27" spans="1:10" x14ac:dyDescent="0.25">
      <c r="A27" t="s">
        <v>104</v>
      </c>
      <c r="B27" t="s">
        <v>152</v>
      </c>
      <c r="C27" t="s">
        <v>84</v>
      </c>
      <c r="D27" t="s">
        <v>85</v>
      </c>
      <c r="E27" t="s">
        <v>103</v>
      </c>
      <c r="F27">
        <v>50</v>
      </c>
      <c r="G27">
        <v>20</v>
      </c>
      <c r="H27">
        <v>30</v>
      </c>
      <c r="I27" t="str">
        <f>IF(F27+H27&lt;G27+H27,"AWAY","HOME")</f>
        <v>HOME</v>
      </c>
      <c r="J27" s="4">
        <f>+IF((F27&gt;G27),(F27+H27)/100,(G27+H27)/100)</f>
        <v>0.8</v>
      </c>
    </row>
    <row r="28" spans="1:10" x14ac:dyDescent="0.25">
      <c r="A28" t="s">
        <v>105</v>
      </c>
      <c r="B28" t="s">
        <v>106</v>
      </c>
      <c r="C28" t="s">
        <v>62</v>
      </c>
      <c r="D28" t="s">
        <v>63</v>
      </c>
      <c r="E28" t="s">
        <v>103</v>
      </c>
      <c r="F28">
        <v>45</v>
      </c>
      <c r="G28">
        <v>20</v>
      </c>
      <c r="H28">
        <v>35</v>
      </c>
      <c r="I28" t="str">
        <f>IF(F28+H28&lt;G28+H28,"AWAY","HOME")</f>
        <v>HOME</v>
      </c>
      <c r="J28" s="4">
        <f>+IF((F28&gt;G28),(F28+H28)/100,(G28+H28)/100)</f>
        <v>0.8</v>
      </c>
    </row>
    <row r="29" spans="1:10" x14ac:dyDescent="0.25">
      <c r="A29" t="s">
        <v>107</v>
      </c>
      <c r="B29" s="7" t="s">
        <v>108</v>
      </c>
      <c r="C29" t="s">
        <v>109</v>
      </c>
      <c r="D29" t="s">
        <v>110</v>
      </c>
      <c r="E29" t="s">
        <v>111</v>
      </c>
      <c r="F29">
        <v>20</v>
      </c>
      <c r="G29">
        <v>50</v>
      </c>
      <c r="H29">
        <v>30</v>
      </c>
      <c r="I29" t="str">
        <f>IF(F29+H29&lt;G29+H29,"AWAY","HOME")</f>
        <v>AWAY</v>
      </c>
      <c r="J29" s="4">
        <f>+IF((F29&gt;G29),(F29+H29)/100,(G29+H29)/100)</f>
        <v>0.8</v>
      </c>
    </row>
    <row r="30" spans="1:10" x14ac:dyDescent="0.25">
      <c r="A30" t="s">
        <v>114</v>
      </c>
      <c r="B30" t="s">
        <v>115</v>
      </c>
      <c r="C30" t="s">
        <v>92</v>
      </c>
      <c r="D30" t="s">
        <v>116</v>
      </c>
      <c r="E30" t="s">
        <v>111</v>
      </c>
      <c r="F30">
        <v>45</v>
      </c>
      <c r="G30">
        <v>30</v>
      </c>
      <c r="H30">
        <v>25</v>
      </c>
      <c r="I30" t="str">
        <f>IF(F30+H30&lt;G30+H30,"AWAY","HOME")</f>
        <v>HOME</v>
      </c>
      <c r="J30" s="4">
        <f>+IF((F30&gt;G30),(F30+H30)/100,(G30+H30)/100)</f>
        <v>0.7</v>
      </c>
    </row>
    <row r="31" spans="1:10" x14ac:dyDescent="0.25">
      <c r="A31" t="s">
        <v>112</v>
      </c>
      <c r="B31" t="s">
        <v>113</v>
      </c>
      <c r="C31" t="s">
        <v>88</v>
      </c>
      <c r="D31" t="s">
        <v>89</v>
      </c>
      <c r="E31" t="s">
        <v>111</v>
      </c>
      <c r="F31">
        <v>20</v>
      </c>
      <c r="G31">
        <v>50</v>
      </c>
      <c r="H31">
        <v>30</v>
      </c>
      <c r="I31" t="str">
        <f>IF(F31+H31&lt;G31+H31,"AWAY","HOME")</f>
        <v>AWAY</v>
      </c>
      <c r="J31" s="4">
        <f>+IF((F31&gt;G31),(F31+H31)/100,(G31+H31)/100)</f>
        <v>0.8</v>
      </c>
    </row>
    <row r="32" spans="1:10" x14ac:dyDescent="0.25">
      <c r="A32" t="s">
        <v>117</v>
      </c>
      <c r="B32" t="s">
        <v>118</v>
      </c>
      <c r="C32" t="s">
        <v>58</v>
      </c>
      <c r="D32" t="s">
        <v>59</v>
      </c>
      <c r="E32" t="s">
        <v>119</v>
      </c>
      <c r="F32">
        <v>55</v>
      </c>
      <c r="G32">
        <v>20</v>
      </c>
      <c r="H32">
        <v>25</v>
      </c>
      <c r="I32" t="str">
        <f>IF(F32+H32&lt;G32+H32,"AWAY","HOME")</f>
        <v>HOME</v>
      </c>
      <c r="J32" s="4">
        <f>+IF((F32&gt;G32),(F32+H32)/100,(G32+H32)/100)</f>
        <v>0.8</v>
      </c>
    </row>
    <row r="33" spans="1:10" x14ac:dyDescent="0.25">
      <c r="A33" t="s">
        <v>120</v>
      </c>
      <c r="B33" t="s">
        <v>121</v>
      </c>
      <c r="C33" t="s">
        <v>92</v>
      </c>
      <c r="D33" t="s">
        <v>93</v>
      </c>
      <c r="E33" t="s">
        <v>119</v>
      </c>
      <c r="F33">
        <v>45</v>
      </c>
      <c r="G33">
        <v>30</v>
      </c>
      <c r="H33">
        <v>25</v>
      </c>
      <c r="I33" t="str">
        <f>IF(F33+H33&lt;G33+H33,"AWAY","HOME")</f>
        <v>HOME</v>
      </c>
      <c r="J33" s="4">
        <f>+IF((F33&gt;G33),(F33+H33)/100,(G33+H33)/100)</f>
        <v>0.7</v>
      </c>
    </row>
    <row r="34" spans="1:10" x14ac:dyDescent="0.25">
      <c r="A34" t="s">
        <v>126</v>
      </c>
      <c r="B34" t="s">
        <v>127</v>
      </c>
      <c r="C34" t="s">
        <v>88</v>
      </c>
      <c r="D34" t="s">
        <v>89</v>
      </c>
      <c r="E34" t="s">
        <v>125</v>
      </c>
      <c r="F34">
        <v>25</v>
      </c>
      <c r="G34">
        <v>45</v>
      </c>
      <c r="H34">
        <v>30</v>
      </c>
      <c r="I34" t="str">
        <f>IF(F34+H34&lt;G34+H34,"AWAY","HOME")</f>
        <v>AWAY</v>
      </c>
      <c r="J34" s="4">
        <f>+IF((F34&gt;G34),(F34+H34)/100,(G34+H34)/100)</f>
        <v>0.75</v>
      </c>
    </row>
    <row r="35" spans="1:10" x14ac:dyDescent="0.25">
      <c r="A35" t="s">
        <v>122</v>
      </c>
      <c r="B35" t="s">
        <v>123</v>
      </c>
      <c r="C35" t="s">
        <v>124</v>
      </c>
      <c r="D35" t="s">
        <v>85</v>
      </c>
      <c r="E35" t="s">
        <v>125</v>
      </c>
      <c r="F35">
        <v>35</v>
      </c>
      <c r="G35">
        <v>20</v>
      </c>
      <c r="H35">
        <v>45</v>
      </c>
      <c r="I35" t="str">
        <f>IF(F35+H35&lt;G35+H35,"AWAY","HOME")</f>
        <v>HOME</v>
      </c>
      <c r="J35" s="4">
        <f>+IF((F35&gt;G35),(F35+H35)/100,(G35+H35)/100)</f>
        <v>0.8</v>
      </c>
    </row>
    <row r="36" spans="1:10" x14ac:dyDescent="0.25">
      <c r="A36" t="s">
        <v>128</v>
      </c>
      <c r="B36" t="s">
        <v>129</v>
      </c>
      <c r="C36" t="s">
        <v>58</v>
      </c>
      <c r="D36" t="s">
        <v>59</v>
      </c>
      <c r="E36" t="s">
        <v>130</v>
      </c>
      <c r="F36">
        <v>45</v>
      </c>
      <c r="G36">
        <v>25</v>
      </c>
      <c r="H36">
        <v>30</v>
      </c>
      <c r="I36" t="str">
        <f>IF(F36+H36&lt;G36+H36,"AWAY","HOME")</f>
        <v>HOME</v>
      </c>
      <c r="J36" s="4">
        <f>+IF((F36&gt;G36),(F36+H36)/100,(G36+H36)/100)</f>
        <v>0.75</v>
      </c>
    </row>
    <row r="37" spans="1:10" x14ac:dyDescent="0.25">
      <c r="A37" t="s">
        <v>131</v>
      </c>
      <c r="B37" t="s">
        <v>132</v>
      </c>
      <c r="C37" t="s">
        <v>58</v>
      </c>
      <c r="D37" t="s">
        <v>59</v>
      </c>
      <c r="E37" t="s">
        <v>130</v>
      </c>
      <c r="F37">
        <v>45</v>
      </c>
      <c r="G37">
        <v>30</v>
      </c>
      <c r="H37">
        <v>25</v>
      </c>
      <c r="I37" t="str">
        <f>IF(F37+H37&lt;G37+H37,"AWAY","HOME")</f>
        <v>HOME</v>
      </c>
      <c r="J37" s="4">
        <f>+IF((F37&gt;G37),(F37+H37)/100,(G37+H37)/100)</f>
        <v>0.7</v>
      </c>
    </row>
    <row r="38" spans="1:10" x14ac:dyDescent="0.25">
      <c r="A38" t="s">
        <v>136</v>
      </c>
      <c r="B38" s="7" t="s">
        <v>137</v>
      </c>
      <c r="C38" t="s">
        <v>92</v>
      </c>
      <c r="D38" t="s">
        <v>138</v>
      </c>
      <c r="E38" t="s">
        <v>135</v>
      </c>
      <c r="F38">
        <v>25</v>
      </c>
      <c r="G38">
        <v>50</v>
      </c>
      <c r="H38">
        <v>25</v>
      </c>
      <c r="I38" t="str">
        <f>IF(F38+H38&lt;G38+H38,"AWAY","HOME")</f>
        <v>AWAY</v>
      </c>
      <c r="J38" s="4">
        <f>+IF((F38&gt;G38),(F38+H38)/100,(G38+H38)/100)</f>
        <v>0.75</v>
      </c>
    </row>
    <row r="39" spans="1:10" x14ac:dyDescent="0.25">
      <c r="A39" t="s">
        <v>133</v>
      </c>
      <c r="B39" t="s">
        <v>134</v>
      </c>
      <c r="C39" t="s">
        <v>92</v>
      </c>
      <c r="D39" t="s">
        <v>93</v>
      </c>
      <c r="E39" t="s">
        <v>135</v>
      </c>
      <c r="F39">
        <v>45</v>
      </c>
      <c r="G39">
        <v>30</v>
      </c>
      <c r="H39">
        <v>25</v>
      </c>
      <c r="I39" t="str">
        <f>IF(F39+H39&lt;G39+H39,"AWAY","HOME")</f>
        <v>HOME</v>
      </c>
      <c r="J39" s="4">
        <f>+IF((F39&gt;G39),(F39+H39)/100,(G39+H39)/100)</f>
        <v>0.7</v>
      </c>
    </row>
    <row r="40" spans="1:10" x14ac:dyDescent="0.25">
      <c r="A40" t="s">
        <v>139</v>
      </c>
      <c r="B40" t="s">
        <v>140</v>
      </c>
      <c r="C40" t="s">
        <v>141</v>
      </c>
      <c r="D40" t="s">
        <v>142</v>
      </c>
      <c r="E40" t="s">
        <v>143</v>
      </c>
      <c r="F40">
        <v>25</v>
      </c>
      <c r="G40">
        <v>30</v>
      </c>
      <c r="H40">
        <v>45</v>
      </c>
      <c r="I40" t="str">
        <f>IF(F40+H40&lt;G40+H40,"AWAY","HOME")</f>
        <v>AWAY</v>
      </c>
      <c r="J40" s="4">
        <f>+IF((F40&gt;G40),(F40+H40)/100,(G40+H40)/100)</f>
        <v>0.75</v>
      </c>
    </row>
  </sheetData>
  <autoFilter ref="A1:J40" xr:uid="{00000000-0001-0000-0000-000000000000}"/>
  <conditionalFormatting sqref="J1:J40">
    <cfRule type="iconSet" priority="1">
      <iconSet>
        <cfvo type="percent" val="0"/>
        <cfvo type="num" val="0.76"/>
        <cfvo type="num" val="0.81"/>
      </iconSet>
    </cfRule>
    <cfRule type="iconSet" priority="2">
      <iconSet>
        <cfvo type="percent" val="0"/>
        <cfvo type="num" val="0.75"/>
        <cfvo type="num" val="0.81"/>
      </iconSet>
    </cfRule>
    <cfRule type="iconSet" priority="3">
      <iconSet>
        <cfvo type="percent" val="0"/>
        <cfvo type="num" val="0.73"/>
        <cfvo type="num" val="0.81"/>
      </iconSet>
    </cfRule>
    <cfRule type="iconSet" priority="4">
      <iconSet>
        <cfvo type="percent" val="0"/>
        <cfvo type="num" val="&quot;0.73&quot;"/>
        <cfvo type="num" val="&quot;0.81&quot;"/>
      </iconSet>
    </cfRule>
    <cfRule type="iconSet" priority="5">
      <iconSet>
        <cfvo type="percent" val="0"/>
        <cfvo type="num" val="73"/>
        <cfvo type="num" val="81"/>
      </iconSet>
    </cfRule>
    <cfRule type="iconSet" priority="6">
      <iconSet>
        <cfvo type="percent" val="0"/>
        <cfvo type="num" val="0.73"/>
        <cfvo type="num" val="0.8"/>
      </iconSet>
    </cfRule>
    <cfRule type="iconSet" priority="7">
      <iconSet>
        <cfvo type="percent" val="0"/>
        <cfvo type="num" val="&quot;0.73&quot;"/>
        <cfvo type="num" val="&quot;0.8&quot;"/>
      </iconSet>
    </cfRule>
    <cfRule type="iconSet" priority="8">
      <iconSet>
        <cfvo type="percent" val="0"/>
        <cfvo type="percent" val="33"/>
        <cfvo type="percent" val="67"/>
      </iconSet>
    </cfRule>
    <cfRule type="colorScale" priority="9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Paruma Fajardo</cp:lastModifiedBy>
  <dcterms:created xsi:type="dcterms:W3CDTF">2025-04-14T04:25:07Z</dcterms:created>
  <dcterms:modified xsi:type="dcterms:W3CDTF">2025-04-14T21:59:50Z</dcterms:modified>
</cp:coreProperties>
</file>