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catap\Documents\Script Sports Bet\"/>
    </mc:Choice>
  </mc:AlternateContent>
  <xr:revisionPtr revIDLastSave="0" documentId="8_{75607DFD-7C83-4985-AD17-EA4508CBED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/>
  <c r="N10" i="1"/>
  <c r="P9" i="1"/>
  <c r="P8" i="1"/>
  <c r="P7" i="1"/>
  <c r="P6" i="1"/>
  <c r="P10" i="1" l="1"/>
  <c r="O3" i="1" l="1"/>
  <c r="I51" i="1" l="1"/>
  <c r="J51" i="1"/>
  <c r="I139" i="1"/>
  <c r="J139" i="1"/>
  <c r="J9" i="1" l="1"/>
  <c r="J24" i="1"/>
  <c r="J106" i="1"/>
  <c r="J21" i="1"/>
  <c r="J25" i="1"/>
  <c r="J26" i="1"/>
  <c r="J27" i="1"/>
  <c r="J57" i="1"/>
  <c r="J142" i="1"/>
  <c r="J143" i="1"/>
  <c r="J22" i="1"/>
  <c r="J23" i="1"/>
  <c r="J138" i="1"/>
  <c r="J107" i="1"/>
  <c r="J61" i="1"/>
  <c r="J141" i="1"/>
  <c r="J108" i="1"/>
  <c r="J62" i="1"/>
  <c r="J144" i="1"/>
  <c r="J28" i="1"/>
  <c r="J63" i="1"/>
  <c r="J109" i="1"/>
  <c r="J29" i="1"/>
  <c r="J20" i="1"/>
  <c r="J2" i="1"/>
  <c r="J3" i="1"/>
  <c r="J145" i="1"/>
  <c r="J110" i="1"/>
  <c r="J30" i="1"/>
  <c r="J10" i="1"/>
  <c r="J64" i="1"/>
  <c r="J146" i="1"/>
  <c r="J31" i="1"/>
  <c r="J111" i="1"/>
  <c r="J65" i="1"/>
  <c r="J32" i="1"/>
  <c r="J33" i="1"/>
  <c r="J11" i="1"/>
  <c r="J34" i="1"/>
  <c r="J66" i="1"/>
  <c r="J112" i="1"/>
  <c r="J60" i="1"/>
  <c r="J67" i="1"/>
  <c r="J68" i="1"/>
  <c r="J56" i="1"/>
  <c r="J35" i="1"/>
  <c r="J103" i="1"/>
  <c r="J36" i="1"/>
  <c r="J12" i="1"/>
  <c r="J113" i="1"/>
  <c r="J147" i="1"/>
  <c r="J114" i="1"/>
  <c r="J69" i="1"/>
  <c r="J37" i="1"/>
  <c r="J70" i="1"/>
  <c r="J38" i="1"/>
  <c r="J39" i="1"/>
  <c r="J13" i="1"/>
  <c r="J115" i="1"/>
  <c r="J148" i="1"/>
  <c r="J116" i="1"/>
  <c r="J71" i="1"/>
  <c r="J117" i="1"/>
  <c r="J118" i="1"/>
  <c r="J72" i="1"/>
  <c r="J73" i="1"/>
  <c r="J149" i="1"/>
  <c r="J40" i="1"/>
  <c r="J74" i="1"/>
  <c r="J119" i="1"/>
  <c r="J75" i="1"/>
  <c r="J120" i="1"/>
  <c r="J76" i="1"/>
  <c r="J77" i="1"/>
  <c r="J78" i="1"/>
  <c r="J41" i="1"/>
  <c r="J79" i="1"/>
  <c r="J80" i="1"/>
  <c r="J42" i="1"/>
  <c r="J43" i="1"/>
  <c r="J81" i="1"/>
  <c r="J44" i="1"/>
  <c r="J14" i="1"/>
  <c r="J82" i="1"/>
  <c r="J83" i="1"/>
  <c r="J121" i="1"/>
  <c r="J122" i="1"/>
  <c r="J123" i="1"/>
  <c r="J84" i="1"/>
  <c r="J85" i="1"/>
  <c r="J45" i="1"/>
  <c r="J46" i="1"/>
  <c r="J86" i="1"/>
  <c r="J87" i="1"/>
  <c r="J4" i="1"/>
  <c r="J5" i="1"/>
  <c r="J124" i="1"/>
  <c r="J47" i="1"/>
  <c r="J125" i="1"/>
  <c r="J126" i="1"/>
  <c r="J88" i="1"/>
  <c r="J89" i="1"/>
  <c r="J48" i="1"/>
  <c r="J90" i="1"/>
  <c r="J127" i="1"/>
  <c r="J150" i="1"/>
  <c r="J151" i="1"/>
  <c r="J49" i="1"/>
  <c r="J91" i="1"/>
  <c r="J128" i="1"/>
  <c r="J92" i="1"/>
  <c r="J50" i="1"/>
  <c r="J6" i="1"/>
  <c r="J15" i="1"/>
  <c r="J129" i="1"/>
  <c r="J130" i="1"/>
  <c r="J93" i="1"/>
  <c r="J131" i="1"/>
  <c r="J132" i="1"/>
  <c r="J16" i="1"/>
  <c r="J52" i="1"/>
  <c r="J94" i="1"/>
  <c r="J152" i="1"/>
  <c r="J17" i="1"/>
  <c r="J95" i="1"/>
  <c r="J96" i="1"/>
  <c r="J7" i="1"/>
  <c r="J18" i="1"/>
  <c r="J153" i="1"/>
  <c r="J133" i="1"/>
  <c r="J134" i="1"/>
  <c r="J135" i="1"/>
  <c r="J53" i="1"/>
  <c r="J54" i="1"/>
  <c r="J136" i="1"/>
  <c r="J97" i="1"/>
  <c r="J98" i="1"/>
  <c r="J99" i="1"/>
  <c r="J104" i="1"/>
  <c r="J19" i="1"/>
  <c r="J8" i="1"/>
  <c r="J58" i="1"/>
  <c r="J100" i="1"/>
  <c r="J59" i="1"/>
  <c r="J140" i="1"/>
  <c r="J137" i="1"/>
  <c r="J101" i="1"/>
  <c r="J55" i="1"/>
  <c r="J102" i="1"/>
  <c r="I9" i="1"/>
  <c r="I24" i="1"/>
  <c r="I106" i="1"/>
  <c r="I21" i="1"/>
  <c r="I25" i="1"/>
  <c r="I26" i="1"/>
  <c r="I27" i="1"/>
  <c r="I57" i="1"/>
  <c r="I142" i="1"/>
  <c r="I143" i="1"/>
  <c r="I22" i="1"/>
  <c r="I23" i="1"/>
  <c r="I138" i="1"/>
  <c r="I107" i="1"/>
  <c r="I61" i="1"/>
  <c r="I141" i="1"/>
  <c r="I108" i="1"/>
  <c r="I62" i="1"/>
  <c r="I144" i="1"/>
  <c r="I28" i="1"/>
  <c r="I63" i="1"/>
  <c r="I109" i="1"/>
  <c r="I29" i="1"/>
  <c r="I20" i="1"/>
  <c r="I2" i="1"/>
  <c r="I3" i="1"/>
  <c r="I145" i="1"/>
  <c r="I110" i="1"/>
  <c r="I30" i="1"/>
  <c r="I10" i="1"/>
  <c r="I64" i="1"/>
  <c r="I146" i="1"/>
  <c r="I31" i="1"/>
  <c r="I111" i="1"/>
  <c r="I65" i="1"/>
  <c r="I32" i="1"/>
  <c r="I33" i="1"/>
  <c r="I11" i="1"/>
  <c r="I34" i="1"/>
  <c r="I66" i="1"/>
  <c r="I112" i="1"/>
  <c r="I60" i="1"/>
  <c r="I67" i="1"/>
  <c r="I68" i="1"/>
  <c r="I56" i="1"/>
  <c r="I35" i="1"/>
  <c r="I103" i="1"/>
  <c r="I36" i="1"/>
  <c r="I12" i="1"/>
  <c r="I113" i="1"/>
  <c r="I147" i="1"/>
  <c r="I114" i="1"/>
  <c r="I69" i="1"/>
  <c r="I37" i="1"/>
  <c r="I70" i="1"/>
  <c r="I38" i="1"/>
  <c r="I39" i="1"/>
  <c r="I13" i="1"/>
  <c r="I115" i="1"/>
  <c r="I148" i="1"/>
  <c r="I116" i="1"/>
  <c r="I71" i="1"/>
  <c r="I117" i="1"/>
  <c r="I118" i="1"/>
  <c r="I72" i="1"/>
  <c r="I73" i="1"/>
  <c r="I149" i="1"/>
  <c r="I40" i="1"/>
  <c r="I74" i="1"/>
  <c r="I119" i="1"/>
  <c r="I75" i="1"/>
  <c r="I120" i="1"/>
  <c r="I76" i="1"/>
  <c r="I77" i="1"/>
  <c r="I78" i="1"/>
  <c r="I41" i="1"/>
  <c r="I79" i="1"/>
  <c r="I80" i="1"/>
  <c r="I42" i="1"/>
  <c r="I43" i="1"/>
  <c r="I81" i="1"/>
  <c r="I44" i="1"/>
  <c r="I14" i="1"/>
  <c r="I82" i="1"/>
  <c r="I83" i="1"/>
  <c r="I121" i="1"/>
  <c r="I122" i="1"/>
  <c r="I123" i="1"/>
  <c r="I84" i="1"/>
  <c r="I85" i="1"/>
  <c r="I45" i="1"/>
  <c r="I46" i="1"/>
  <c r="I86" i="1"/>
  <c r="I87" i="1"/>
  <c r="I4" i="1"/>
  <c r="I5" i="1"/>
  <c r="I124" i="1"/>
  <c r="I47" i="1"/>
  <c r="I125" i="1"/>
  <c r="I126" i="1"/>
  <c r="I88" i="1"/>
  <c r="I89" i="1"/>
  <c r="I48" i="1"/>
  <c r="I90" i="1"/>
  <c r="I127" i="1"/>
  <c r="I150" i="1"/>
  <c r="I151" i="1"/>
  <c r="I49" i="1"/>
  <c r="I91" i="1"/>
  <c r="I128" i="1"/>
  <c r="I92" i="1"/>
  <c r="I50" i="1"/>
  <c r="I6" i="1"/>
  <c r="I15" i="1"/>
  <c r="I129" i="1"/>
  <c r="I130" i="1"/>
  <c r="I93" i="1"/>
  <c r="I131" i="1"/>
  <c r="I132" i="1"/>
  <c r="I16" i="1"/>
  <c r="I52" i="1"/>
  <c r="I94" i="1"/>
  <c r="I152" i="1"/>
  <c r="I17" i="1"/>
  <c r="I95" i="1"/>
  <c r="I96" i="1"/>
  <c r="I7" i="1"/>
  <c r="I18" i="1"/>
  <c r="I153" i="1"/>
  <c r="I133" i="1"/>
  <c r="I134" i="1"/>
  <c r="I135" i="1"/>
  <c r="I53" i="1"/>
  <c r="I54" i="1"/>
  <c r="I136" i="1"/>
  <c r="I97" i="1"/>
  <c r="I98" i="1"/>
  <c r="I99" i="1"/>
  <c r="I104" i="1"/>
  <c r="I19" i="1"/>
  <c r="I8" i="1"/>
  <c r="I58" i="1"/>
  <c r="I100" i="1"/>
  <c r="I59" i="1"/>
  <c r="I140" i="1"/>
  <c r="I137" i="1"/>
  <c r="I101" i="1"/>
  <c r="I55" i="1"/>
  <c r="I102" i="1"/>
  <c r="J105" i="1"/>
  <c r="I105" i="1"/>
</calcChain>
</file>

<file path=xl/sharedStrings.xml><?xml version="1.0" encoding="utf-8"?>
<sst xmlns="http://schemas.openxmlformats.org/spreadsheetml/2006/main" count="782" uniqueCount="437">
  <si>
    <t>Home</t>
  </si>
  <si>
    <t>Away</t>
  </si>
  <si>
    <t>League</t>
  </si>
  <si>
    <t>Country</t>
  </si>
  <si>
    <t>Time</t>
  </si>
  <si>
    <t>Western Sydney Wanderers</t>
  </si>
  <si>
    <t>Western United</t>
  </si>
  <si>
    <t>A-League</t>
  </si>
  <si>
    <t>Australia</t>
  </si>
  <si>
    <t>02:00</t>
  </si>
  <si>
    <t>Jeonbuk Motors</t>
  </si>
  <si>
    <t>Jeju United FC</t>
  </si>
  <si>
    <t>K League 1</t>
  </si>
  <si>
    <t>South-Korea</t>
  </si>
  <si>
    <t>02:30</t>
  </si>
  <si>
    <t>Daegu FC</t>
  </si>
  <si>
    <t>Ulsan Hyundai FC</t>
  </si>
  <si>
    <t>Vorskla Poltava</t>
  </si>
  <si>
    <t>Polessya</t>
  </si>
  <si>
    <t>Premier League</t>
  </si>
  <si>
    <t>Ukraine</t>
  </si>
  <si>
    <t>05:00</t>
  </si>
  <si>
    <t>Utrecht</t>
  </si>
  <si>
    <t>Groningen</t>
  </si>
  <si>
    <t>Eredivisie</t>
  </si>
  <si>
    <t>Netherlands</t>
  </si>
  <si>
    <t>05:15</t>
  </si>
  <si>
    <t>Atalanta</t>
  </si>
  <si>
    <t>Bologna</t>
  </si>
  <si>
    <t>Serie A</t>
  </si>
  <si>
    <t>Italy</t>
  </si>
  <si>
    <t>05:30</t>
  </si>
  <si>
    <t>FK Jablonec</t>
  </si>
  <si>
    <t>Pardubice</t>
  </si>
  <si>
    <t>Czech Liga</t>
  </si>
  <si>
    <t>Czech-Republic</t>
  </si>
  <si>
    <t>06:00</t>
  </si>
  <si>
    <t>České Budějovice</t>
  </si>
  <si>
    <t>Teplice</t>
  </si>
  <si>
    <t>Aberdeen</t>
  </si>
  <si>
    <t>Rangers</t>
  </si>
  <si>
    <t>Premiership</t>
  </si>
  <si>
    <t>Scotland</t>
  </si>
  <si>
    <t>Akron</t>
  </si>
  <si>
    <t>Fakel</t>
  </si>
  <si>
    <t>Russia</t>
  </si>
  <si>
    <t>06:30</t>
  </si>
  <si>
    <t>SC Paderborn 07</t>
  </si>
  <si>
    <t>Fortuna Düsseldorf</t>
  </si>
  <si>
    <t>2. Bundesliga</t>
  </si>
  <si>
    <t>Germany</t>
  </si>
  <si>
    <t>Preußen Münster</t>
  </si>
  <si>
    <t>Karlsruher SC</t>
  </si>
  <si>
    <t>SSV Jahn Regensburg</t>
  </si>
  <si>
    <t>FC Schalke 04</t>
  </si>
  <si>
    <t>Antwerp</t>
  </si>
  <si>
    <t>Gent</t>
  </si>
  <si>
    <t>Jupiler Pro League</t>
  </si>
  <si>
    <t>Belgium</t>
  </si>
  <si>
    <t>Osasuna</t>
  </si>
  <si>
    <t>Girona</t>
  </si>
  <si>
    <t>La Liga</t>
  </si>
  <si>
    <t>Spain</t>
  </si>
  <si>
    <t>07:00</t>
  </si>
  <si>
    <t>Albacete</t>
  </si>
  <si>
    <t>Granada CF</t>
  </si>
  <si>
    <t>Segunda División</t>
  </si>
  <si>
    <t>Hammarby FF</t>
  </si>
  <si>
    <t>Djurgardens IF</t>
  </si>
  <si>
    <t>Allsvenskan</t>
  </si>
  <si>
    <t>Sweden</t>
  </si>
  <si>
    <t>IFK Varnamo</t>
  </si>
  <si>
    <t>IFK Goteborg</t>
  </si>
  <si>
    <t>FC Copenhagen</t>
  </si>
  <si>
    <t>Brondby</t>
  </si>
  <si>
    <t>Superliga</t>
  </si>
  <si>
    <t>Denmark</t>
  </si>
  <si>
    <t>Viborg</t>
  </si>
  <si>
    <t>Silkeborg</t>
  </si>
  <si>
    <t>Cukaricki</t>
  </si>
  <si>
    <t>Radnicki NIS</t>
  </si>
  <si>
    <t>Super Liga</t>
  </si>
  <si>
    <t>Serbia</t>
  </si>
  <si>
    <t>Heracles</t>
  </si>
  <si>
    <t>AZ Alkmaar</t>
  </si>
  <si>
    <t>07:30</t>
  </si>
  <si>
    <t>PEC Zwolle</t>
  </si>
  <si>
    <t>Twente</t>
  </si>
  <si>
    <t>Livyi Bereh</t>
  </si>
  <si>
    <t>Kolos Kovalivka</t>
  </si>
  <si>
    <t>Red Bull Salzburg</t>
  </si>
  <si>
    <t>Sturm Graz</t>
  </si>
  <si>
    <t>Bundesliga</t>
  </si>
  <si>
    <t>Austria</t>
  </si>
  <si>
    <t>Chelsea</t>
  </si>
  <si>
    <t>Ipswich</t>
  </si>
  <si>
    <t>England</t>
  </si>
  <si>
    <t>08:00</t>
  </si>
  <si>
    <t>Liverpool</t>
  </si>
  <si>
    <t>West Ham</t>
  </si>
  <si>
    <t>Wolves</t>
  </si>
  <si>
    <t>Tottenham</t>
  </si>
  <si>
    <t>Saint Etienne</t>
  </si>
  <si>
    <t>Stade Brestois 29</t>
  </si>
  <si>
    <t>Ligue 1</t>
  </si>
  <si>
    <t>France</t>
  </si>
  <si>
    <t>Koper</t>
  </si>
  <si>
    <t>Primorje</t>
  </si>
  <si>
    <t>1. SNL</t>
  </si>
  <si>
    <t>Slovenia</t>
  </si>
  <si>
    <t>Fiorentina</t>
  </si>
  <si>
    <t>Parma</t>
  </si>
  <si>
    <t>Verona</t>
  </si>
  <si>
    <t>Genoa</t>
  </si>
  <si>
    <t>Cesena</t>
  </si>
  <si>
    <t>Frosinone</t>
  </si>
  <si>
    <t>Serie B</t>
  </si>
  <si>
    <t>Cremonese</t>
  </si>
  <si>
    <t>Juve Stabia</t>
  </si>
  <si>
    <t>Kayserispor</t>
  </si>
  <si>
    <t>Kasimpasa</t>
  </si>
  <si>
    <t>Süper Lig</t>
  </si>
  <si>
    <t>Turkey</t>
  </si>
  <si>
    <t>Gazişehir Gaziantep</t>
  </si>
  <si>
    <t>Hatayspor</t>
  </si>
  <si>
    <t>Sparta Praha</t>
  </si>
  <si>
    <t>Mlada Boleslav</t>
  </si>
  <si>
    <t>08:30</t>
  </si>
  <si>
    <t>Slovácko</t>
  </si>
  <si>
    <t>Sigma Olomouc</t>
  </si>
  <si>
    <t>Hibernian</t>
  </si>
  <si>
    <t>Dundee</t>
  </si>
  <si>
    <t>VfB Stuttgart</t>
  </si>
  <si>
    <t>Werder Bremen</t>
  </si>
  <si>
    <t>Komárno</t>
  </si>
  <si>
    <t>Skalica</t>
  </si>
  <si>
    <t>Slovakia</t>
  </si>
  <si>
    <t>Asteras Tripolis</t>
  </si>
  <si>
    <t>OFI</t>
  </si>
  <si>
    <t>Super League 1</t>
  </si>
  <si>
    <t>Greece</t>
  </si>
  <si>
    <t>Zenit</t>
  </si>
  <si>
    <t>FC Krasnodar</t>
  </si>
  <si>
    <t>09:00</t>
  </si>
  <si>
    <t>Vestri</t>
  </si>
  <si>
    <t>FH hafnarfjordur</t>
  </si>
  <si>
    <t>Úrvalsdeild</t>
  </si>
  <si>
    <t>Iceland</t>
  </si>
  <si>
    <t>AL Masry</t>
  </si>
  <si>
    <t>Petrojet</t>
  </si>
  <si>
    <t>Egypt</t>
  </si>
  <si>
    <t>KV Mechelen</t>
  </si>
  <si>
    <t>OH Leuven</t>
  </si>
  <si>
    <t>Aarhus</t>
  </si>
  <si>
    <t>FC Midtjylland</t>
  </si>
  <si>
    <t>Enugu Rangers</t>
  </si>
  <si>
    <t>Heartland</t>
  </si>
  <si>
    <t>NPFL</t>
  </si>
  <si>
    <t>Nigeria</t>
  </si>
  <si>
    <t>TSC Backa Topola</t>
  </si>
  <si>
    <t>Novi Pazar</t>
  </si>
  <si>
    <t>Alaves</t>
  </si>
  <si>
    <t>Real Madrid</t>
  </si>
  <si>
    <t>09:15</t>
  </si>
  <si>
    <t>Racing Santander</t>
  </si>
  <si>
    <t>Castellón</t>
  </si>
  <si>
    <t>Estrela</t>
  </si>
  <si>
    <t>Farense</t>
  </si>
  <si>
    <t>Primeira Liga</t>
  </si>
  <si>
    <t>Portugal</t>
  </si>
  <si>
    <t>09:30</t>
  </si>
  <si>
    <t>Gais</t>
  </si>
  <si>
    <t>Degerfors IF</t>
  </si>
  <si>
    <t>Sirius</t>
  </si>
  <si>
    <t>IF Brommapojkarna</t>
  </si>
  <si>
    <t>Willem II</t>
  </si>
  <si>
    <t>Ajax</t>
  </si>
  <si>
    <t>09:45</t>
  </si>
  <si>
    <t>Zorya Luhansk</t>
  </si>
  <si>
    <t>Veres Rivne</t>
  </si>
  <si>
    <t>10:00</t>
  </si>
  <si>
    <t>Berekum Chelsea</t>
  </si>
  <si>
    <t>Heart of Lions</t>
  </si>
  <si>
    <t>Ghana</t>
  </si>
  <si>
    <t>Bibiani Gold Stars</t>
  </si>
  <si>
    <t>Young Apostles</t>
  </si>
  <si>
    <t>Asante Kotoko</t>
  </si>
  <si>
    <t>Bechem United</t>
  </si>
  <si>
    <t>Karela</t>
  </si>
  <si>
    <t>Aduana Stars</t>
  </si>
  <si>
    <t>Vision</t>
  </si>
  <si>
    <t>Hearts of Oak</t>
  </si>
  <si>
    <t>Legon Cities</t>
  </si>
  <si>
    <t>Samartex</t>
  </si>
  <si>
    <t>Rapid Vienna</t>
  </si>
  <si>
    <t>Austria Vienna</t>
  </si>
  <si>
    <t>Sunshine Stars</t>
  </si>
  <si>
    <t>Enyimba</t>
  </si>
  <si>
    <t>Kano Pillars</t>
  </si>
  <si>
    <t>Lobi Stars</t>
  </si>
  <si>
    <t>Remo Stars</t>
  </si>
  <si>
    <t>Katsina United</t>
  </si>
  <si>
    <t>Nasarawa United</t>
  </si>
  <si>
    <t>Plateau United</t>
  </si>
  <si>
    <t>Abia Warriors</t>
  </si>
  <si>
    <t>Rivers United</t>
  </si>
  <si>
    <t>Akwa United</t>
  </si>
  <si>
    <t>El Kanemi Warriors</t>
  </si>
  <si>
    <t>Hassania Agadir</t>
  </si>
  <si>
    <t>Renaissance Berkane</t>
  </si>
  <si>
    <t>Botola Pro</t>
  </si>
  <si>
    <t>Morocco</t>
  </si>
  <si>
    <t>LE Havre</t>
  </si>
  <si>
    <t>Rennes</t>
  </si>
  <si>
    <t>10:15</t>
  </si>
  <si>
    <t>Angers</t>
  </si>
  <si>
    <t>Montpellier</t>
  </si>
  <si>
    <t>Mantova</t>
  </si>
  <si>
    <t>Spezia</t>
  </si>
  <si>
    <t>Unirea Slobozia</t>
  </si>
  <si>
    <t>Uta Arad</t>
  </si>
  <si>
    <t>Liga I</t>
  </si>
  <si>
    <t>Romania</t>
  </si>
  <si>
    <t>Newcastle</t>
  </si>
  <si>
    <t>Manchester United</t>
  </si>
  <si>
    <t>10:30</t>
  </si>
  <si>
    <t>Celje</t>
  </si>
  <si>
    <t>Mura</t>
  </si>
  <si>
    <t>Eintracht Frankfurt</t>
  </si>
  <si>
    <t>1. FC Heidenheim</t>
  </si>
  <si>
    <t>Como</t>
  </si>
  <si>
    <t>Torino</t>
  </si>
  <si>
    <t>11:00</t>
  </si>
  <si>
    <t>Sivasspor</t>
  </si>
  <si>
    <t>Fenerbahce</t>
  </si>
  <si>
    <t>Trabzonspor</t>
  </si>
  <si>
    <t>Rizespor</t>
  </si>
  <si>
    <t>Sporting Cristal</t>
  </si>
  <si>
    <t>Cusco</t>
  </si>
  <si>
    <t>Primera División</t>
  </si>
  <si>
    <t>Peru</t>
  </si>
  <si>
    <t>Panathinaikos</t>
  </si>
  <si>
    <t>PAOK</t>
  </si>
  <si>
    <t>FC Nordsjaelland</t>
  </si>
  <si>
    <t>Randers FC</t>
  </si>
  <si>
    <t>Vojvodina</t>
  </si>
  <si>
    <t>Mladost Lucani</t>
  </si>
  <si>
    <t>Real Betis</t>
  </si>
  <si>
    <t>Villarreal</t>
  </si>
  <si>
    <t>11:30</t>
  </si>
  <si>
    <t>Bohemians 1905</t>
  </si>
  <si>
    <t>Plzen</t>
  </si>
  <si>
    <t>Hradec Králové</t>
  </si>
  <si>
    <t>Slovan Liberec</t>
  </si>
  <si>
    <t>Khimki</t>
  </si>
  <si>
    <t>Krylia Sovetov</t>
  </si>
  <si>
    <t>Eldense</t>
  </si>
  <si>
    <t>Sporting Gijon</t>
  </si>
  <si>
    <t>Mirandes</t>
  </si>
  <si>
    <t>Deportivo La Coruna</t>
  </si>
  <si>
    <t>D. La Serena</t>
  </si>
  <si>
    <t>Everton de Vina</t>
  </si>
  <si>
    <t>Chile</t>
  </si>
  <si>
    <t>Aris Thessalonikis</t>
  </si>
  <si>
    <t>Atromitos</t>
  </si>
  <si>
    <t>Club Brugge KV</t>
  </si>
  <si>
    <t>Genk</t>
  </si>
  <si>
    <t>Kwara United</t>
  </si>
  <si>
    <t>Bendel Insurance</t>
  </si>
  <si>
    <t>Ikorodu City</t>
  </si>
  <si>
    <t>Niger Tornadoes</t>
  </si>
  <si>
    <t>Benfica</t>
  </si>
  <si>
    <t>Arouca</t>
  </si>
  <si>
    <t>12:00</t>
  </si>
  <si>
    <t>SC Braga</t>
  </si>
  <si>
    <t>AVS</t>
  </si>
  <si>
    <t>Afturelding</t>
  </si>
  <si>
    <t>IBV Vestmannaeyjar</t>
  </si>
  <si>
    <t>Haras El Hodood</t>
  </si>
  <si>
    <t>Zamalek SC</t>
  </si>
  <si>
    <t>UTS Rabat</t>
  </si>
  <si>
    <t>FAR Rabat</t>
  </si>
  <si>
    <t>Dender</t>
  </si>
  <si>
    <t>Standard Liege</t>
  </si>
  <si>
    <t>12:15</t>
  </si>
  <si>
    <t>Boston River</t>
  </si>
  <si>
    <t>Cerro Largo</t>
  </si>
  <si>
    <t>Primera División - Apertura</t>
  </si>
  <si>
    <t>Uruguay</t>
  </si>
  <si>
    <t>13:00</t>
  </si>
  <si>
    <t>Universitatea Craiova</t>
  </si>
  <si>
    <t>FCSB</t>
  </si>
  <si>
    <t>Olympiakos Piraeus</t>
  </si>
  <si>
    <t>AEK Athens FC</t>
  </si>
  <si>
    <t>IMT Novi Beograd</t>
  </si>
  <si>
    <t>FK Spartak Zdrepceva KRV</t>
  </si>
  <si>
    <t>Bravo</t>
  </si>
  <si>
    <t>Maribor</t>
  </si>
  <si>
    <t>13:15</t>
  </si>
  <si>
    <t>Sporting Kansas City</t>
  </si>
  <si>
    <t>Portland Timbers</t>
  </si>
  <si>
    <t>Major League Soccer</t>
  </si>
  <si>
    <t>USA</t>
  </si>
  <si>
    <t>Comerciantes Unidos</t>
  </si>
  <si>
    <t>Sport Boys</t>
  </si>
  <si>
    <t>Instituto Cordoba</t>
  </si>
  <si>
    <t>Deportivo Riestra</t>
  </si>
  <si>
    <t>Liga Profesional Argentina</t>
  </si>
  <si>
    <t>Argentina</t>
  </si>
  <si>
    <t>13:30</t>
  </si>
  <si>
    <t>Gimnasia L.P.</t>
  </si>
  <si>
    <t>Estudiantes L.P.</t>
  </si>
  <si>
    <t>Auxerre</t>
  </si>
  <si>
    <t>Lyon</t>
  </si>
  <si>
    <t>13:45</t>
  </si>
  <si>
    <t>Lazio</t>
  </si>
  <si>
    <t>AS Roma</t>
  </si>
  <si>
    <t>Athletic Club</t>
  </si>
  <si>
    <t>Rayo Vallecano</t>
  </si>
  <si>
    <t>14:00</t>
  </si>
  <si>
    <t>Almeria</t>
  </si>
  <si>
    <t>FC Cartagena</t>
  </si>
  <si>
    <t>Bahia</t>
  </si>
  <si>
    <t>Mirassol</t>
  </si>
  <si>
    <t>Brazil</t>
  </si>
  <si>
    <t>remo</t>
  </si>
  <si>
    <t>America Mineiro</t>
  </si>
  <si>
    <t>CRB</t>
  </si>
  <si>
    <t>Gualberto Villarroel SJ</t>
  </si>
  <si>
    <t>The Strongest</t>
  </si>
  <si>
    <t>Bolivia</t>
  </si>
  <si>
    <t>Vikingur Reykjavik</t>
  </si>
  <si>
    <t>KA Akureyri</t>
  </si>
  <si>
    <t>14:15</t>
  </si>
  <si>
    <t>Fram Reykjavik</t>
  </si>
  <si>
    <t>Breidablik</t>
  </si>
  <si>
    <t>Moreirense</t>
  </si>
  <si>
    <t>Rio Ave</t>
  </si>
  <si>
    <t>14:30</t>
  </si>
  <si>
    <t>Chicago Fire</t>
  </si>
  <si>
    <t>Inter Miami</t>
  </si>
  <si>
    <t>15:30</t>
  </si>
  <si>
    <t>Club Nacional</t>
  </si>
  <si>
    <t>Danubio</t>
  </si>
  <si>
    <t>ADT</t>
  </si>
  <si>
    <t>Deportivo Binacional</t>
  </si>
  <si>
    <t>Sao Paulo</t>
  </si>
  <si>
    <t>Cruzeiro</t>
  </si>
  <si>
    <t>Gremio</t>
  </si>
  <si>
    <t>Flamengo</t>
  </si>
  <si>
    <t>Colombia</t>
  </si>
  <si>
    <t>AD Guanacasteca</t>
  </si>
  <si>
    <t>LD Alajuelense</t>
  </si>
  <si>
    <t>Costa-Rica</t>
  </si>
  <si>
    <t>16:00</t>
  </si>
  <si>
    <t>Olimpia</t>
  </si>
  <si>
    <t>Sportivo Ameliano</t>
  </si>
  <si>
    <t>Division Profesional - Apertura</t>
  </si>
  <si>
    <t>Paraguay</t>
  </si>
  <si>
    <t>CD Real Sociedad</t>
  </si>
  <si>
    <t>Génesis</t>
  </si>
  <si>
    <t>Liga Nacional</t>
  </si>
  <si>
    <t>Honduras</t>
  </si>
  <si>
    <t>Independiente</t>
  </si>
  <si>
    <t>San Martin S.J.</t>
  </si>
  <si>
    <t>Carabobo FC</t>
  </si>
  <si>
    <t>Academia Anzoátegui</t>
  </si>
  <si>
    <t>Venezuela</t>
  </si>
  <si>
    <t>Alianza FC</t>
  </si>
  <si>
    <t>Costa del Este</t>
  </si>
  <si>
    <t>Liga Panameña de Fútbol</t>
  </si>
  <si>
    <t>Panama</t>
  </si>
  <si>
    <t>Matagalpa</t>
  </si>
  <si>
    <t>Managua</t>
  </si>
  <si>
    <t>Primera Division</t>
  </si>
  <si>
    <t>Nicaragua</t>
  </si>
  <si>
    <t>Zamora FC</t>
  </si>
  <si>
    <t>Caracas FC</t>
  </si>
  <si>
    <t>17:00</t>
  </si>
  <si>
    <t>Botafogo SP</t>
  </si>
  <si>
    <t>Atletico Goianiense</t>
  </si>
  <si>
    <t>Fluminense</t>
  </si>
  <si>
    <t>Santos</t>
  </si>
  <si>
    <t>17:30</t>
  </si>
  <si>
    <t>Santos Laguna</t>
  </si>
  <si>
    <t>Club Queretaro</t>
  </si>
  <si>
    <t>Liga MX</t>
  </si>
  <si>
    <t>Mexico</t>
  </si>
  <si>
    <t>18:00</t>
  </si>
  <si>
    <t>St. Louis City</t>
  </si>
  <si>
    <t>Columbus Crew</t>
  </si>
  <si>
    <t>Millonarios</t>
  </si>
  <si>
    <t>Atletico Nacional</t>
  </si>
  <si>
    <t>Primera A</t>
  </si>
  <si>
    <t>CA River Plate</t>
  </si>
  <si>
    <t>Juventud</t>
  </si>
  <si>
    <t>Fortaleza EC</t>
  </si>
  <si>
    <t>Internacional</t>
  </si>
  <si>
    <t>UNAN Managua</t>
  </si>
  <si>
    <t>Deportivo Ocotal</t>
  </si>
  <si>
    <t>General Caballero</t>
  </si>
  <si>
    <t>Club Guarani</t>
  </si>
  <si>
    <t>18:15</t>
  </si>
  <si>
    <t>CD Motagua</t>
  </si>
  <si>
    <t>Juticalpa</t>
  </si>
  <si>
    <t>River Plate</t>
  </si>
  <si>
    <t>Talleres Cordoba</t>
  </si>
  <si>
    <t>Sporting San Miguelito</t>
  </si>
  <si>
    <t>CD Arabe Unido</t>
  </si>
  <si>
    <t>Atletico-MG</t>
  </si>
  <si>
    <t>Vitoria</t>
  </si>
  <si>
    <t>18:30</t>
  </si>
  <si>
    <t>Oriente Petrolero</t>
  </si>
  <si>
    <t>Always Ready</t>
  </si>
  <si>
    <t>Puerto Cabello</t>
  </si>
  <si>
    <t>Deportivo Tachira FC</t>
  </si>
  <si>
    <t>19:00</t>
  </si>
  <si>
    <t>Universitario</t>
  </si>
  <si>
    <t>FBC Melgar</t>
  </si>
  <si>
    <t>Bucaramanga</t>
  </si>
  <si>
    <t>Fortaleza FC</t>
  </si>
  <si>
    <t>20:10</t>
  </si>
  <si>
    <t>Rancho Santana</t>
  </si>
  <si>
    <t>Walter Ferretti</t>
  </si>
  <si>
    <t>21:00</t>
  </si>
  <si>
    <t>% Home</t>
  </si>
  <si>
    <t>% Away</t>
  </si>
  <si>
    <t>% Draw</t>
  </si>
  <si>
    <t>Win/Draw</t>
  </si>
  <si>
    <t>%</t>
  </si>
  <si>
    <t>Total</t>
  </si>
  <si>
    <t>Aciertos</t>
  </si>
  <si>
    <t>Color</t>
  </si>
  <si>
    <t>Verde &gt; 80%</t>
  </si>
  <si>
    <t>Amarillo &gt; 75%</t>
  </si>
  <si>
    <t>Rojo &gt; 70%</t>
  </si>
  <si>
    <t>Rojo &lt;= 70%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</si>
</sst>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2" fontId="3" fillId="0" borderId="1" xfId="0" applyNumberFormat="1" applyFont="1" applyBorder="1" applyAlignment="1">
      <alignment horizontal="center" vertical="top"/>
    </xf>
    <xf numFmtId="9" fontId="3" fillId="0" borderId="2" xfId="1" applyFont="1" applyFill="1" applyBorder="1" applyAlignment="1">
      <alignment horizontal="center" vertical="top"/>
    </xf>
    <xf numFmtId="9" fontId="0" fillId="0" borderId="0" xfId="1" applyFont="1"/>
    <xf numFmtId="0" fontId="0" fillId="2" borderId="0" xfId="0" applyFill="1"/>
    <xf numFmtId="0" fontId="0" fillId="3" borderId="0" xfId="0" applyFill="1"/>
    <xf numFmtId="0" fontId="4" fillId="0" borderId="0" xfId="0" applyFont="1"/>
    <xf numFmtId="164" fontId="0" fillId="0" borderId="0" xfId="1" applyNumberFormat="1" applyFont="1"/>
    <xf numFmtId="0" fontId="0" fillId="0" borderId="1" xfId="0" applyBorder="1"/>
    <xf numFmtId="0" fontId="0" fillId="2" borderId="0" xfId="0" applyFont="1" applyFill="1"/>
    <xf numFmtId="0" fontId="0" fillId="3" borderId="0" xfId="0" applyFont="1" applyFill="1"/>
    <xf numFmtId="0" fontId="4" fillId="4" borderId="1" xfId="0" applyFont="1" applyFill="1" applyBorder="1" applyAlignment="1">
      <alignment horizontal="center"/>
    </xf>
    <xf numFmtId="0" fontId="4" fillId="4" borderId="3" xfId="0" applyFont="1" applyFill="1" applyBorder="1"/>
    <xf numFmtId="164" fontId="0" fillId="0" borderId="1" xfId="1" applyNumberFormat="1" applyFont="1" applyBorder="1"/>
    <xf numFmtId="0" fontId="4" fillId="4" borderId="1" xfId="0" applyFon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"/>
  <sheetViews>
    <sheetView tabSelected="1" zoomScale="90" zoomScaleNormal="90" workbookViewId="0">
      <selection activeCell="O26" sqref="O26"/>
    </sheetView>
  </sheetViews>
  <sheetFormatPr baseColWidth="10" defaultColWidth="8.88671875" defaultRowHeight="14.4" x14ac:dyDescent="0.3"/>
  <cols>
    <col min="1" max="1" width="23.5546875" bestFit="1" customWidth="1"/>
    <col min="2" max="2" width="22.109375" bestFit="1" customWidth="1"/>
    <col min="3" max="3" width="20.77734375" customWidth="1"/>
    <col min="4" max="4" width="13.33203125" bestFit="1" customWidth="1"/>
    <col min="13" max="13" width="14.109375" bestFit="1" customWidth="1"/>
    <col min="15" max="15" width="9.218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425</v>
      </c>
      <c r="G1" s="2" t="s">
        <v>426</v>
      </c>
      <c r="H1" s="2" t="s">
        <v>427</v>
      </c>
      <c r="I1" s="2" t="s">
        <v>428</v>
      </c>
      <c r="J1" s="3" t="s">
        <v>429</v>
      </c>
    </row>
    <row r="2" spans="1:16" x14ac:dyDescent="0.3">
      <c r="A2" t="s">
        <v>94</v>
      </c>
      <c r="B2" t="s">
        <v>95</v>
      </c>
      <c r="C2" t="s">
        <v>19</v>
      </c>
      <c r="D2" t="s">
        <v>96</v>
      </c>
      <c r="E2" t="s">
        <v>97</v>
      </c>
      <c r="F2">
        <v>85</v>
      </c>
      <c r="G2">
        <v>5</v>
      </c>
      <c r="H2">
        <v>10</v>
      </c>
      <c r="I2" s="5" t="str">
        <f>IF(F2+H2&lt;G2+H2,"AWAY","HOME")</f>
        <v>HOME</v>
      </c>
      <c r="J2" s="4">
        <f>+IF((F2&gt;G2),(F2+H2)/100,(G2+H2)/100)</f>
        <v>0.95</v>
      </c>
      <c r="M2" s="7" t="s">
        <v>430</v>
      </c>
      <c r="N2" s="7" t="s">
        <v>431</v>
      </c>
      <c r="O2" s="7" t="s">
        <v>429</v>
      </c>
    </row>
    <row r="3" spans="1:16" x14ac:dyDescent="0.3">
      <c r="A3" t="s">
        <v>98</v>
      </c>
      <c r="B3" t="s">
        <v>99</v>
      </c>
      <c r="C3" t="s">
        <v>19</v>
      </c>
      <c r="D3" t="s">
        <v>96</v>
      </c>
      <c r="E3" t="s">
        <v>97</v>
      </c>
      <c r="F3">
        <v>70</v>
      </c>
      <c r="G3">
        <v>10</v>
      </c>
      <c r="H3">
        <v>20</v>
      </c>
      <c r="I3" s="5" t="str">
        <f>IF(F3+H3&lt;G3+H3,"AWAY","HOME")</f>
        <v>HOME</v>
      </c>
      <c r="J3" s="4">
        <f>+IF((F3&gt;G3),(F3+H3)/100,(G3+H3)/100)</f>
        <v>0.9</v>
      </c>
      <c r="M3">
        <v>152</v>
      </c>
      <c r="N3">
        <v>126</v>
      </c>
      <c r="O3" s="8">
        <f>+((100/M3)*N3)/100</f>
        <v>0.82894736842105277</v>
      </c>
    </row>
    <row r="4" spans="1:16" x14ac:dyDescent="0.3">
      <c r="A4" t="s">
        <v>271</v>
      </c>
      <c r="B4" t="s">
        <v>272</v>
      </c>
      <c r="C4" t="s">
        <v>168</v>
      </c>
      <c r="D4" t="s">
        <v>169</v>
      </c>
      <c r="E4" t="s">
        <v>273</v>
      </c>
      <c r="F4">
        <v>75</v>
      </c>
      <c r="G4">
        <v>10</v>
      </c>
      <c r="H4">
        <v>15</v>
      </c>
      <c r="I4" s="5" t="str">
        <f>IF(F4+H4&lt;G4+H4,"AWAY","HOME")</f>
        <v>HOME</v>
      </c>
      <c r="J4" s="4">
        <f>+IF((F4&gt;G4),(F4+H4)/100,(G4+H4)/100)</f>
        <v>0.9</v>
      </c>
    </row>
    <row r="5" spans="1:16" x14ac:dyDescent="0.3">
      <c r="A5" t="s">
        <v>274</v>
      </c>
      <c r="B5" t="s">
        <v>275</v>
      </c>
      <c r="C5" t="s">
        <v>168</v>
      </c>
      <c r="D5" t="s">
        <v>169</v>
      </c>
      <c r="E5" t="s">
        <v>273</v>
      </c>
      <c r="F5">
        <v>75</v>
      </c>
      <c r="G5">
        <v>10</v>
      </c>
      <c r="H5">
        <v>15</v>
      </c>
      <c r="I5" s="5" t="str">
        <f>IF(F5+H5&lt;G5+H5,"AWAY","HOME")</f>
        <v>HOME</v>
      </c>
      <c r="J5" s="4">
        <f>+IF((F5&gt;G5),(F5+H5)/100,(G5+H5)/100)</f>
        <v>0.9</v>
      </c>
      <c r="M5" s="12" t="s">
        <v>432</v>
      </c>
      <c r="N5" s="12" t="s">
        <v>430</v>
      </c>
      <c r="O5" s="12" t="s">
        <v>431</v>
      </c>
      <c r="P5" s="12" t="s">
        <v>429</v>
      </c>
    </row>
    <row r="6" spans="1:16" x14ac:dyDescent="0.3">
      <c r="A6" t="s">
        <v>320</v>
      </c>
      <c r="B6" t="s">
        <v>321</v>
      </c>
      <c r="C6" t="s">
        <v>66</v>
      </c>
      <c r="D6" t="s">
        <v>62</v>
      </c>
      <c r="E6" t="s">
        <v>319</v>
      </c>
      <c r="F6">
        <v>75</v>
      </c>
      <c r="G6">
        <v>10</v>
      </c>
      <c r="H6">
        <v>15</v>
      </c>
      <c r="I6" s="5" t="str">
        <f>IF(F6+H6&lt;G6+H6,"AWAY","HOME")</f>
        <v>HOME</v>
      </c>
      <c r="J6" s="4">
        <f>+IF((F6&gt;G6),(F6+H6)/100,(G6+H6)/100)</f>
        <v>0.9</v>
      </c>
      <c r="M6" s="13" t="s">
        <v>433</v>
      </c>
      <c r="N6" s="9">
        <v>22</v>
      </c>
      <c r="O6" s="9">
        <v>20</v>
      </c>
      <c r="P6" s="14">
        <f>+(100/N6)*O6/100</f>
        <v>0.90909090909090917</v>
      </c>
    </row>
    <row r="7" spans="1:16" x14ac:dyDescent="0.3">
      <c r="A7" t="s">
        <v>363</v>
      </c>
      <c r="B7" t="s">
        <v>364</v>
      </c>
      <c r="C7" t="s">
        <v>307</v>
      </c>
      <c r="D7" t="s">
        <v>308</v>
      </c>
      <c r="E7" t="s">
        <v>354</v>
      </c>
      <c r="F7">
        <v>65</v>
      </c>
      <c r="G7">
        <v>10</v>
      </c>
      <c r="H7">
        <v>25</v>
      </c>
      <c r="I7" s="5" t="str">
        <f>IF(F7+H7&lt;G7+H7,"AWAY","HOME")</f>
        <v>HOME</v>
      </c>
      <c r="J7" s="4">
        <f>+IF((F7&gt;G7),(F7+H7)/100,(G7+H7)/100)</f>
        <v>0.9</v>
      </c>
      <c r="M7" s="15" t="s">
        <v>434</v>
      </c>
      <c r="N7" s="9">
        <v>37</v>
      </c>
      <c r="O7" s="9">
        <v>33</v>
      </c>
      <c r="P7" s="14">
        <f>+(100/N7)*O7/100</f>
        <v>0.89189189189189189</v>
      </c>
    </row>
    <row r="8" spans="1:16" x14ac:dyDescent="0.3">
      <c r="A8" t="s">
        <v>403</v>
      </c>
      <c r="B8" t="s">
        <v>404</v>
      </c>
      <c r="C8" t="s">
        <v>361</v>
      </c>
      <c r="D8" t="s">
        <v>362</v>
      </c>
      <c r="E8" t="s">
        <v>402</v>
      </c>
      <c r="F8">
        <v>75</v>
      </c>
      <c r="G8">
        <v>10</v>
      </c>
      <c r="H8">
        <v>15</v>
      </c>
      <c r="I8" s="5" t="str">
        <f>IF(F8+H8&lt;G8+H8,"AWAY","HOME")</f>
        <v>HOME</v>
      </c>
      <c r="J8" s="4">
        <f>+IF((F8&gt;G8),(F8+H8)/100,(G8+H8)/100)</f>
        <v>0.9</v>
      </c>
      <c r="M8" s="15" t="s">
        <v>435</v>
      </c>
      <c r="N8" s="9">
        <v>44</v>
      </c>
      <c r="O8" s="9">
        <v>35</v>
      </c>
      <c r="P8" s="14">
        <f t="shared" ref="P8:P9" si="0">+(100/N8)*O8/100</f>
        <v>0.79545454545454541</v>
      </c>
    </row>
    <row r="9" spans="1:16" x14ac:dyDescent="0.3">
      <c r="A9" t="s">
        <v>10</v>
      </c>
      <c r="B9" t="s">
        <v>11</v>
      </c>
      <c r="C9" t="s">
        <v>12</v>
      </c>
      <c r="D9" t="s">
        <v>13</v>
      </c>
      <c r="E9" t="s">
        <v>14</v>
      </c>
      <c r="F9">
        <v>60</v>
      </c>
      <c r="G9">
        <v>15</v>
      </c>
      <c r="H9">
        <v>25</v>
      </c>
      <c r="I9" s="5" t="str">
        <f>IF(F9+H9&lt;G9+H9,"AWAY","HOME")</f>
        <v>HOME</v>
      </c>
      <c r="J9" s="4">
        <f>+IF((F9&gt;G9),(F9+H9)/100,(G9+H9)/100)</f>
        <v>0.85</v>
      </c>
      <c r="M9" s="15" t="s">
        <v>436</v>
      </c>
      <c r="N9" s="9">
        <v>49</v>
      </c>
      <c r="O9" s="9">
        <v>38</v>
      </c>
      <c r="P9" s="14">
        <f t="shared" ref="P9" si="1">+(100/N9)*O9/100</f>
        <v>0.77551020408163263</v>
      </c>
    </row>
    <row r="10" spans="1:16" x14ac:dyDescent="0.3">
      <c r="A10" t="s">
        <v>110</v>
      </c>
      <c r="B10" t="s">
        <v>111</v>
      </c>
      <c r="C10" t="s">
        <v>29</v>
      </c>
      <c r="D10" t="s">
        <v>30</v>
      </c>
      <c r="E10" t="s">
        <v>97</v>
      </c>
      <c r="F10">
        <v>60</v>
      </c>
      <c r="G10">
        <v>15</v>
      </c>
      <c r="H10">
        <v>25</v>
      </c>
      <c r="I10" s="5" t="str">
        <f>IF(F10+H10&lt;G10+H10,"AWAY","HOME")</f>
        <v>HOME</v>
      </c>
      <c r="J10" s="4">
        <f>+IF((F10&gt;G10),(F10+H10)/100,(G10+H10)/100)</f>
        <v>0.85</v>
      </c>
      <c r="M10" s="15" t="s">
        <v>430</v>
      </c>
      <c r="N10" s="9">
        <f>+N6+N7+N8+N9</f>
        <v>152</v>
      </c>
      <c r="O10" s="9">
        <f>+O6+O7+O8+O9</f>
        <v>126</v>
      </c>
      <c r="P10" s="14">
        <f>+(100/N10)*O10/100</f>
        <v>0.82894736842105277</v>
      </c>
    </row>
    <row r="11" spans="1:16" x14ac:dyDescent="0.3">
      <c r="A11" t="s">
        <v>130</v>
      </c>
      <c r="B11" t="s">
        <v>131</v>
      </c>
      <c r="C11" t="s">
        <v>41</v>
      </c>
      <c r="D11" t="s">
        <v>42</v>
      </c>
      <c r="E11" t="s">
        <v>127</v>
      </c>
      <c r="F11">
        <v>60</v>
      </c>
      <c r="G11">
        <v>15</v>
      </c>
      <c r="H11">
        <v>25</v>
      </c>
      <c r="I11" s="5" t="str">
        <f>IF(F11+H11&lt;G11+H11,"AWAY","HOME")</f>
        <v>HOME</v>
      </c>
      <c r="J11" s="4">
        <f>+IF((F11&gt;G11),(F11+H11)/100,(G11+H11)/100)</f>
        <v>0.85</v>
      </c>
    </row>
    <row r="12" spans="1:16" x14ac:dyDescent="0.3">
      <c r="A12" t="s">
        <v>161</v>
      </c>
      <c r="B12" t="s">
        <v>162</v>
      </c>
      <c r="C12" t="s">
        <v>61</v>
      </c>
      <c r="D12" t="s">
        <v>62</v>
      </c>
      <c r="E12" t="s">
        <v>163</v>
      </c>
      <c r="F12">
        <v>15</v>
      </c>
      <c r="G12">
        <v>60</v>
      </c>
      <c r="H12">
        <v>25</v>
      </c>
      <c r="I12" s="5" t="str">
        <f>IF(F12+H12&lt;G12+H12,"AWAY","HOME")</f>
        <v>AWAY</v>
      </c>
      <c r="J12" s="4">
        <f>+IF((F12&gt;G12),(F12+H12)/100,(G12+H12)/100)</f>
        <v>0.85</v>
      </c>
    </row>
    <row r="13" spans="1:16" x14ac:dyDescent="0.3">
      <c r="A13" t="s">
        <v>186</v>
      </c>
      <c r="B13" t="s">
        <v>187</v>
      </c>
      <c r="C13" t="s">
        <v>19</v>
      </c>
      <c r="D13" t="s">
        <v>183</v>
      </c>
      <c r="E13" t="s">
        <v>180</v>
      </c>
      <c r="F13">
        <v>60</v>
      </c>
      <c r="G13">
        <v>15</v>
      </c>
      <c r="H13">
        <v>25</v>
      </c>
      <c r="I13" s="5" t="str">
        <f>IF(F13+H13&lt;G13+H13,"AWAY","HOME")</f>
        <v>HOME</v>
      </c>
      <c r="J13" s="4">
        <f>+IF((F13&gt;G13),(F13+H13)/100,(G13+H13)/100)</f>
        <v>0.85</v>
      </c>
    </row>
    <row r="14" spans="1:16" x14ac:dyDescent="0.3">
      <c r="A14" t="s">
        <v>245</v>
      </c>
      <c r="B14" t="s">
        <v>246</v>
      </c>
      <c r="C14" t="s">
        <v>81</v>
      </c>
      <c r="D14" t="s">
        <v>82</v>
      </c>
      <c r="E14" t="s">
        <v>232</v>
      </c>
      <c r="F14">
        <v>65</v>
      </c>
      <c r="G14">
        <v>15</v>
      </c>
      <c r="H14">
        <v>20</v>
      </c>
      <c r="I14" s="5" t="str">
        <f>IF(F14+H14&lt;G14+H14,"AWAY","HOME")</f>
        <v>HOME</v>
      </c>
      <c r="J14" s="4">
        <f>+IF((F14&gt;G14),(F14+H14)/100,(G14+H14)/100)</f>
        <v>0.85</v>
      </c>
    </row>
    <row r="15" spans="1:16" x14ac:dyDescent="0.3">
      <c r="A15" t="s">
        <v>322</v>
      </c>
      <c r="B15" t="s">
        <v>323</v>
      </c>
      <c r="C15" t="s">
        <v>29</v>
      </c>
      <c r="D15" t="s">
        <v>324</v>
      </c>
      <c r="E15" t="s">
        <v>319</v>
      </c>
      <c r="F15">
        <v>60</v>
      </c>
      <c r="G15">
        <v>15</v>
      </c>
      <c r="H15">
        <v>25</v>
      </c>
      <c r="I15" s="5" t="str">
        <f>IF(F15+H15&lt;G15+H15,"AWAY","HOME")</f>
        <v>HOME</v>
      </c>
      <c r="J15" s="4">
        <f>+IF((F15&gt;G15),(F15+H15)/100,(G15+H15)/100)</f>
        <v>0.85</v>
      </c>
    </row>
    <row r="16" spans="1:16" x14ac:dyDescent="0.3">
      <c r="A16" t="s">
        <v>342</v>
      </c>
      <c r="B16" t="s">
        <v>343</v>
      </c>
      <c r="C16" t="s">
        <v>287</v>
      </c>
      <c r="D16" t="s">
        <v>288</v>
      </c>
      <c r="E16" t="s">
        <v>341</v>
      </c>
      <c r="F16">
        <v>65</v>
      </c>
      <c r="G16">
        <v>15</v>
      </c>
      <c r="H16">
        <v>20</v>
      </c>
      <c r="I16" s="5" t="str">
        <f>IF(F16+H16&lt;G16+H16,"AWAY","HOME")</f>
        <v>HOME</v>
      </c>
      <c r="J16" s="4">
        <f>+IF((F16&gt;G16),(F16+H16)/100,(G16+H16)/100)</f>
        <v>0.85</v>
      </c>
    </row>
    <row r="17" spans="1:10" x14ac:dyDescent="0.3">
      <c r="A17" t="s">
        <v>351</v>
      </c>
      <c r="B17" t="s">
        <v>352</v>
      </c>
      <c r="C17" t="s">
        <v>239</v>
      </c>
      <c r="D17" t="s">
        <v>353</v>
      </c>
      <c r="E17" t="s">
        <v>354</v>
      </c>
      <c r="F17">
        <v>15</v>
      </c>
      <c r="G17">
        <v>65</v>
      </c>
      <c r="H17">
        <v>20</v>
      </c>
      <c r="I17" s="5" t="str">
        <f>IF(F17+H17&lt;G17+H17,"AWAY","HOME")</f>
        <v>AWAY</v>
      </c>
      <c r="J17" s="4">
        <f>+IF((F17&gt;G17),(F17+H17)/100,(G17+H17)/100)</f>
        <v>0.85</v>
      </c>
    </row>
    <row r="18" spans="1:10" x14ac:dyDescent="0.3">
      <c r="A18" t="s">
        <v>365</v>
      </c>
      <c r="B18" t="s">
        <v>366</v>
      </c>
      <c r="C18" t="s">
        <v>239</v>
      </c>
      <c r="D18" t="s">
        <v>367</v>
      </c>
      <c r="E18" t="s">
        <v>354</v>
      </c>
      <c r="F18">
        <v>65</v>
      </c>
      <c r="G18">
        <v>15</v>
      </c>
      <c r="H18">
        <v>20</v>
      </c>
      <c r="I18" s="5" t="str">
        <f>IF(F18+H18&lt;G18+H18,"AWAY","HOME")</f>
        <v>HOME</v>
      </c>
      <c r="J18" s="4">
        <f>+IF((F18&gt;G18),(F18+H18)/100,(G18+H18)/100)</f>
        <v>0.85</v>
      </c>
    </row>
    <row r="19" spans="1:10" x14ac:dyDescent="0.3">
      <c r="A19" t="s">
        <v>400</v>
      </c>
      <c r="B19" t="s">
        <v>401</v>
      </c>
      <c r="C19" t="s">
        <v>357</v>
      </c>
      <c r="D19" t="s">
        <v>358</v>
      </c>
      <c r="E19" t="s">
        <v>402</v>
      </c>
      <c r="F19">
        <v>15</v>
      </c>
      <c r="G19">
        <v>55</v>
      </c>
      <c r="H19">
        <v>30</v>
      </c>
      <c r="I19" s="5" t="str">
        <f>IF(F19+H19&lt;G19+H19,"AWAY","HOME")</f>
        <v>AWAY</v>
      </c>
      <c r="J19" s="4">
        <f>+IF((F19&gt;G19),(F19+H19)/100,(G19+H19)/100)</f>
        <v>0.85</v>
      </c>
    </row>
    <row r="20" spans="1:10" x14ac:dyDescent="0.3">
      <c r="A20" t="s">
        <v>90</v>
      </c>
      <c r="B20" t="s">
        <v>91</v>
      </c>
      <c r="C20" t="s">
        <v>92</v>
      </c>
      <c r="D20" t="s">
        <v>93</v>
      </c>
      <c r="E20" t="s">
        <v>85</v>
      </c>
      <c r="F20">
        <v>64</v>
      </c>
      <c r="G20">
        <v>16</v>
      </c>
      <c r="H20">
        <v>20</v>
      </c>
      <c r="I20" s="6" t="str">
        <f>IF(F20+H20&lt;G20+H20,"AWAY","HOME")</f>
        <v>HOME</v>
      </c>
      <c r="J20" s="4">
        <f>+IF((F20&gt;G20),(F20+H20)/100,(G20+H20)/100)</f>
        <v>0.84</v>
      </c>
    </row>
    <row r="21" spans="1:10" x14ac:dyDescent="0.3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>
        <v>60</v>
      </c>
      <c r="G21">
        <v>18</v>
      </c>
      <c r="H21">
        <v>22</v>
      </c>
      <c r="I21" s="5" t="str">
        <f>IF(F21+H21&lt;G21+H21,"AWAY","HOME")</f>
        <v>HOME</v>
      </c>
      <c r="J21" s="4">
        <f>+IF((F21&gt;G21),(F21+H21)/100,(G21+H21)/100)</f>
        <v>0.82</v>
      </c>
    </row>
    <row r="22" spans="1:10" x14ac:dyDescent="0.3">
      <c r="A22" t="s">
        <v>51</v>
      </c>
      <c r="B22" t="s">
        <v>52</v>
      </c>
      <c r="C22" t="s">
        <v>49</v>
      </c>
      <c r="D22" t="s">
        <v>50</v>
      </c>
      <c r="E22" t="s">
        <v>46</v>
      </c>
      <c r="F22">
        <v>18</v>
      </c>
      <c r="G22">
        <v>60</v>
      </c>
      <c r="H22">
        <v>22</v>
      </c>
      <c r="I22" s="5" t="str">
        <f>IF(F22+H22&lt;G22+H22,"AWAY","HOME")</f>
        <v>AWAY</v>
      </c>
      <c r="J22" s="4">
        <f>+IF((F22&gt;G22),(F22+H22)/100,(G22+H22)/100)</f>
        <v>0.82</v>
      </c>
    </row>
    <row r="23" spans="1:10" x14ac:dyDescent="0.3">
      <c r="A23" t="s">
        <v>53</v>
      </c>
      <c r="B23" t="s">
        <v>54</v>
      </c>
      <c r="C23" t="s">
        <v>49</v>
      </c>
      <c r="D23" t="s">
        <v>50</v>
      </c>
      <c r="E23" t="s">
        <v>46</v>
      </c>
      <c r="F23">
        <v>18</v>
      </c>
      <c r="G23">
        <v>60</v>
      </c>
      <c r="H23">
        <v>22</v>
      </c>
      <c r="I23" s="6" t="str">
        <f>IF(F23+H23&lt;G23+H23,"AWAY","HOME")</f>
        <v>AWAY</v>
      </c>
      <c r="J23" s="4">
        <f>+IF((F23&gt;G23),(F23+H23)/100,(G23+H23)/100)</f>
        <v>0.82</v>
      </c>
    </row>
    <row r="24" spans="1:10" x14ac:dyDescent="0.3">
      <c r="A24" t="s">
        <v>15</v>
      </c>
      <c r="B24" t="s">
        <v>16</v>
      </c>
      <c r="C24" t="s">
        <v>12</v>
      </c>
      <c r="D24" t="s">
        <v>13</v>
      </c>
      <c r="E24" t="s">
        <v>14</v>
      </c>
      <c r="F24">
        <v>20</v>
      </c>
      <c r="G24">
        <v>55</v>
      </c>
      <c r="H24">
        <v>25</v>
      </c>
      <c r="I24" s="5" t="str">
        <f>IF(F24+H24&lt;G24+H24,"AWAY","HOME")</f>
        <v>AWAY</v>
      </c>
      <c r="J24" s="4">
        <f>+IF((F24&gt;G24),(F24+H24)/100,(G24+H24)/100)</f>
        <v>0.8</v>
      </c>
    </row>
    <row r="25" spans="1:10" x14ac:dyDescent="0.3">
      <c r="A25" t="s">
        <v>27</v>
      </c>
      <c r="B25" t="s">
        <v>28</v>
      </c>
      <c r="C25" t="s">
        <v>29</v>
      </c>
      <c r="D25" t="s">
        <v>30</v>
      </c>
      <c r="E25" t="s">
        <v>31</v>
      </c>
      <c r="F25">
        <v>55</v>
      </c>
      <c r="G25">
        <v>20</v>
      </c>
      <c r="H25">
        <v>25</v>
      </c>
      <c r="I25" s="5" t="str">
        <f>IF(F25+H25&lt;G25+H25,"AWAY","HOME")</f>
        <v>HOME</v>
      </c>
      <c r="J25" s="4">
        <f>+IF((F25&gt;G25),(F25+H25)/100,(G25+H25)/100)</f>
        <v>0.8</v>
      </c>
    </row>
    <row r="26" spans="1:10" x14ac:dyDescent="0.3">
      <c r="A26" t="s">
        <v>32</v>
      </c>
      <c r="B26" t="s">
        <v>33</v>
      </c>
      <c r="C26" t="s">
        <v>34</v>
      </c>
      <c r="D26" t="s">
        <v>35</v>
      </c>
      <c r="E26" t="s">
        <v>36</v>
      </c>
      <c r="F26">
        <v>55</v>
      </c>
      <c r="G26">
        <v>20</v>
      </c>
      <c r="H26">
        <v>25</v>
      </c>
      <c r="I26" s="5" t="str">
        <f>IF(F26+H26&lt;G26+H26,"AWAY","HOME")</f>
        <v>HOME</v>
      </c>
      <c r="J26" s="4">
        <f>+IF((F26&gt;G26),(F26+H26)/100,(G26+H26)/100)</f>
        <v>0.8</v>
      </c>
    </row>
    <row r="27" spans="1:10" x14ac:dyDescent="0.3">
      <c r="A27" t="s">
        <v>37</v>
      </c>
      <c r="B27" t="s">
        <v>38</v>
      </c>
      <c r="C27" t="s">
        <v>34</v>
      </c>
      <c r="D27" t="s">
        <v>35</v>
      </c>
      <c r="E27" t="s">
        <v>36</v>
      </c>
      <c r="F27">
        <v>20</v>
      </c>
      <c r="G27">
        <v>56</v>
      </c>
      <c r="H27">
        <v>24</v>
      </c>
      <c r="I27" s="5" t="str">
        <f>IF(F27+H27&lt;G27+H27,"AWAY","HOME")</f>
        <v>AWAY</v>
      </c>
      <c r="J27" s="4">
        <f>+IF((F27&gt;G27),(F27+H27)/100,(G27+H27)/100)</f>
        <v>0.8</v>
      </c>
    </row>
    <row r="28" spans="1:10" x14ac:dyDescent="0.3">
      <c r="A28" t="s">
        <v>79</v>
      </c>
      <c r="B28" t="s">
        <v>80</v>
      </c>
      <c r="C28" t="s">
        <v>81</v>
      </c>
      <c r="D28" t="s">
        <v>82</v>
      </c>
      <c r="E28" t="s">
        <v>63</v>
      </c>
      <c r="F28">
        <v>50</v>
      </c>
      <c r="G28">
        <v>20</v>
      </c>
      <c r="H28">
        <v>30</v>
      </c>
      <c r="I28" s="5" t="str">
        <f>IF(F28+H28&lt;G28+H28,"AWAY","HOME")</f>
        <v>HOME</v>
      </c>
      <c r="J28" s="4">
        <f>+IF((F28&gt;G28),(F28+H28)/100,(G28+H28)/100)</f>
        <v>0.8</v>
      </c>
    </row>
    <row r="29" spans="1:10" x14ac:dyDescent="0.3">
      <c r="A29" t="s">
        <v>88</v>
      </c>
      <c r="B29" t="s">
        <v>89</v>
      </c>
      <c r="C29" t="s">
        <v>19</v>
      </c>
      <c r="D29" t="s">
        <v>20</v>
      </c>
      <c r="E29" t="s">
        <v>85</v>
      </c>
      <c r="F29">
        <v>20</v>
      </c>
      <c r="G29">
        <v>55</v>
      </c>
      <c r="H29">
        <v>25</v>
      </c>
      <c r="I29" s="5" t="str">
        <f>IF(F29+H29&lt;G29+H29,"AWAY","HOME")</f>
        <v>AWAY</v>
      </c>
      <c r="J29" s="4">
        <f>+IF((F29&gt;G29),(F29+H29)/100,(G29+H29)/100)</f>
        <v>0.8</v>
      </c>
    </row>
    <row r="30" spans="1:10" x14ac:dyDescent="0.3">
      <c r="A30" t="s">
        <v>106</v>
      </c>
      <c r="B30" t="s">
        <v>107</v>
      </c>
      <c r="C30" t="s">
        <v>108</v>
      </c>
      <c r="D30" t="s">
        <v>109</v>
      </c>
      <c r="E30" t="s">
        <v>97</v>
      </c>
      <c r="F30">
        <v>55</v>
      </c>
      <c r="G30">
        <v>20</v>
      </c>
      <c r="H30">
        <v>25</v>
      </c>
      <c r="I30" s="5" t="str">
        <f>IF(F30+H30&lt;G30+H30,"AWAY","HOME")</f>
        <v>HOME</v>
      </c>
      <c r="J30" s="4">
        <f>+IF((F30&gt;G30),(F30+H30)/100,(G30+H30)/100)</f>
        <v>0.8</v>
      </c>
    </row>
    <row r="31" spans="1:10" x14ac:dyDescent="0.3">
      <c r="A31" t="s">
        <v>117</v>
      </c>
      <c r="B31" t="s">
        <v>118</v>
      </c>
      <c r="C31" t="s">
        <v>116</v>
      </c>
      <c r="D31" t="s">
        <v>30</v>
      </c>
      <c r="E31" t="s">
        <v>97</v>
      </c>
      <c r="F31">
        <v>50</v>
      </c>
      <c r="G31">
        <v>20</v>
      </c>
      <c r="H31">
        <v>30</v>
      </c>
      <c r="I31" s="5" t="str">
        <f>IF(F31+H31&lt;G31+H31,"AWAY","HOME")</f>
        <v>HOME</v>
      </c>
      <c r="J31" s="4">
        <f>+IF((F31&gt;G31),(F31+H31)/100,(G31+H31)/100)</f>
        <v>0.8</v>
      </c>
    </row>
    <row r="32" spans="1:10" x14ac:dyDescent="0.3">
      <c r="A32" t="s">
        <v>125</v>
      </c>
      <c r="B32" t="s">
        <v>126</v>
      </c>
      <c r="C32" t="s">
        <v>34</v>
      </c>
      <c r="D32" t="s">
        <v>35</v>
      </c>
      <c r="E32" t="s">
        <v>127</v>
      </c>
      <c r="F32">
        <v>55</v>
      </c>
      <c r="G32">
        <v>20</v>
      </c>
      <c r="H32">
        <v>25</v>
      </c>
      <c r="I32" s="5" t="str">
        <f>IF(F32+H32&lt;G32+H32,"AWAY","HOME")</f>
        <v>HOME</v>
      </c>
      <c r="J32" s="4">
        <f>+IF((F32&gt;G32),(F32+H32)/100,(G32+H32)/100)</f>
        <v>0.8</v>
      </c>
    </row>
    <row r="33" spans="1:10" x14ac:dyDescent="0.3">
      <c r="A33" t="s">
        <v>128</v>
      </c>
      <c r="B33" t="s">
        <v>129</v>
      </c>
      <c r="C33" t="s">
        <v>34</v>
      </c>
      <c r="D33" t="s">
        <v>35</v>
      </c>
      <c r="E33" t="s">
        <v>127</v>
      </c>
      <c r="F33">
        <v>50</v>
      </c>
      <c r="G33">
        <v>20</v>
      </c>
      <c r="H33">
        <v>30</v>
      </c>
      <c r="I33" s="5" t="str">
        <f>IF(F33+H33&lt;G33+H33,"AWAY","HOME")</f>
        <v>HOME</v>
      </c>
      <c r="J33" s="4">
        <f>+IF((F33&gt;G33),(F33+H33)/100,(G33+H33)/100)</f>
        <v>0.8</v>
      </c>
    </row>
    <row r="34" spans="1:10" x14ac:dyDescent="0.3">
      <c r="A34" t="s">
        <v>132</v>
      </c>
      <c r="B34" t="s">
        <v>133</v>
      </c>
      <c r="C34" t="s">
        <v>92</v>
      </c>
      <c r="D34" t="s">
        <v>50</v>
      </c>
      <c r="E34" t="s">
        <v>127</v>
      </c>
      <c r="F34">
        <v>50</v>
      </c>
      <c r="G34">
        <v>20</v>
      </c>
      <c r="H34">
        <v>30</v>
      </c>
      <c r="I34" s="6" t="str">
        <f>IF(F34+H34&lt;G34+H34,"AWAY","HOME")</f>
        <v>HOME</v>
      </c>
      <c r="J34" s="4">
        <f>+IF((F34&gt;G34),(F34+H34)/100,(G34+H34)/100)</f>
        <v>0.8</v>
      </c>
    </row>
    <row r="35" spans="1:10" x14ac:dyDescent="0.3">
      <c r="A35" t="s">
        <v>153</v>
      </c>
      <c r="B35" t="s">
        <v>154</v>
      </c>
      <c r="C35" t="s">
        <v>75</v>
      </c>
      <c r="D35" t="s">
        <v>76</v>
      </c>
      <c r="E35" t="s">
        <v>143</v>
      </c>
      <c r="F35">
        <v>20</v>
      </c>
      <c r="G35">
        <v>50</v>
      </c>
      <c r="H35">
        <v>30</v>
      </c>
      <c r="I35" s="5" t="str">
        <f>IF(F35+H35&lt;G35+H35,"AWAY","HOME")</f>
        <v>AWAY</v>
      </c>
      <c r="J35" s="4">
        <f>+IF((F35&gt;G35),(F35+H35)/100,(G35+H35)/100)</f>
        <v>0.8</v>
      </c>
    </row>
    <row r="36" spans="1:10" x14ac:dyDescent="0.3">
      <c r="A36" t="s">
        <v>159</v>
      </c>
      <c r="B36" t="s">
        <v>160</v>
      </c>
      <c r="C36" t="s">
        <v>81</v>
      </c>
      <c r="D36" t="s">
        <v>82</v>
      </c>
      <c r="E36" t="s">
        <v>143</v>
      </c>
      <c r="F36">
        <v>55</v>
      </c>
      <c r="G36">
        <v>20</v>
      </c>
      <c r="H36">
        <v>25</v>
      </c>
      <c r="I36" s="6" t="str">
        <f>IF(F36+H36&lt;G36+H36,"AWAY","HOME")</f>
        <v>HOME</v>
      </c>
      <c r="J36" s="4">
        <f>+IF((F36&gt;G36),(F36+H36)/100,(G36+H36)/100)</f>
        <v>0.8</v>
      </c>
    </row>
    <row r="37" spans="1:10" x14ac:dyDescent="0.3">
      <c r="A37" t="s">
        <v>175</v>
      </c>
      <c r="B37" t="s">
        <v>176</v>
      </c>
      <c r="C37" t="s">
        <v>24</v>
      </c>
      <c r="D37" t="s">
        <v>25</v>
      </c>
      <c r="E37" t="s">
        <v>177</v>
      </c>
      <c r="F37">
        <v>20</v>
      </c>
      <c r="G37">
        <v>55</v>
      </c>
      <c r="H37">
        <v>25</v>
      </c>
      <c r="I37" s="5" t="str">
        <f>IF(F37+H37&lt;G37+H37,"AWAY","HOME")</f>
        <v>AWAY</v>
      </c>
      <c r="J37" s="4">
        <f>+IF((F37&gt;G37),(F37+H37)/100,(G37+H37)/100)</f>
        <v>0.8</v>
      </c>
    </row>
    <row r="38" spans="1:10" x14ac:dyDescent="0.3">
      <c r="A38" t="s">
        <v>181</v>
      </c>
      <c r="B38" t="s">
        <v>182</v>
      </c>
      <c r="C38" t="s">
        <v>19</v>
      </c>
      <c r="D38" t="s">
        <v>183</v>
      </c>
      <c r="E38" t="s">
        <v>180</v>
      </c>
      <c r="F38">
        <v>50</v>
      </c>
      <c r="G38">
        <v>20</v>
      </c>
      <c r="H38">
        <v>30</v>
      </c>
      <c r="I38" s="5" t="str">
        <f>IF(F38+H38&lt;G38+H38,"AWAY","HOME")</f>
        <v>HOME</v>
      </c>
      <c r="J38" s="4">
        <f>+IF((F38&gt;G38),(F38+H38)/100,(G38+H38)/100)</f>
        <v>0.8</v>
      </c>
    </row>
    <row r="39" spans="1:10" x14ac:dyDescent="0.3">
      <c r="A39" t="s">
        <v>184</v>
      </c>
      <c r="B39" t="s">
        <v>185</v>
      </c>
      <c r="C39" t="s">
        <v>19</v>
      </c>
      <c r="D39" t="s">
        <v>183</v>
      </c>
      <c r="E39" t="s">
        <v>180</v>
      </c>
      <c r="F39">
        <v>55</v>
      </c>
      <c r="G39">
        <v>20</v>
      </c>
      <c r="H39">
        <v>25</v>
      </c>
      <c r="I39" s="5" t="str">
        <f>IF(F39+H39&lt;G39+H39,"AWAY","HOME")</f>
        <v>HOME</v>
      </c>
      <c r="J39" s="4">
        <f>+IF((F39&gt;G39),(F39+H39)/100,(G39+H39)/100)</f>
        <v>0.8</v>
      </c>
    </row>
    <row r="40" spans="1:10" x14ac:dyDescent="0.3">
      <c r="A40" t="s">
        <v>206</v>
      </c>
      <c r="B40" t="s">
        <v>207</v>
      </c>
      <c r="C40" t="s">
        <v>157</v>
      </c>
      <c r="D40" t="s">
        <v>158</v>
      </c>
      <c r="E40" t="s">
        <v>180</v>
      </c>
      <c r="F40">
        <v>55</v>
      </c>
      <c r="G40">
        <v>20</v>
      </c>
      <c r="H40">
        <v>25</v>
      </c>
      <c r="I40" s="5" t="str">
        <f>IF(F40+H40&lt;G40+H40,"AWAY","HOME")</f>
        <v>HOME</v>
      </c>
      <c r="J40" s="4">
        <f>+IF((F40&gt;G40),(F40+H40)/100,(G40+H40)/100)</f>
        <v>0.8</v>
      </c>
    </row>
    <row r="41" spans="1:10" x14ac:dyDescent="0.3">
      <c r="A41" t="s">
        <v>228</v>
      </c>
      <c r="B41" t="s">
        <v>229</v>
      </c>
      <c r="C41" t="s">
        <v>92</v>
      </c>
      <c r="D41" t="s">
        <v>50</v>
      </c>
      <c r="E41" t="s">
        <v>225</v>
      </c>
      <c r="F41">
        <v>55</v>
      </c>
      <c r="G41">
        <v>20</v>
      </c>
      <c r="H41">
        <v>25</v>
      </c>
      <c r="I41" s="5" t="str">
        <f>IF(F41+H41&lt;G41+H41,"AWAY","HOME")</f>
        <v>HOME</v>
      </c>
      <c r="J41" s="4">
        <f>+IF((F41&gt;G41),(F41+H41)/100,(G41+H41)/100)</f>
        <v>0.8</v>
      </c>
    </row>
    <row r="42" spans="1:10" x14ac:dyDescent="0.3">
      <c r="A42" t="s">
        <v>235</v>
      </c>
      <c r="B42" t="s">
        <v>236</v>
      </c>
      <c r="C42" t="s">
        <v>121</v>
      </c>
      <c r="D42" t="s">
        <v>122</v>
      </c>
      <c r="E42" t="s">
        <v>232</v>
      </c>
      <c r="F42">
        <v>55</v>
      </c>
      <c r="G42">
        <v>20</v>
      </c>
      <c r="H42">
        <v>25</v>
      </c>
      <c r="I42" s="5" t="str">
        <f>IF(F42+H42&lt;G42+H42,"AWAY","HOME")</f>
        <v>HOME</v>
      </c>
      <c r="J42" s="4">
        <f>+IF((F42&gt;G42),(F42+H42)/100,(G42+H42)/100)</f>
        <v>0.8</v>
      </c>
    </row>
    <row r="43" spans="1:10" x14ac:dyDescent="0.3">
      <c r="A43" t="s">
        <v>237</v>
      </c>
      <c r="B43" t="s">
        <v>238</v>
      </c>
      <c r="C43" t="s">
        <v>239</v>
      </c>
      <c r="D43" t="s">
        <v>240</v>
      </c>
      <c r="E43" t="s">
        <v>232</v>
      </c>
      <c r="F43">
        <v>55</v>
      </c>
      <c r="G43">
        <v>20</v>
      </c>
      <c r="H43">
        <v>25</v>
      </c>
      <c r="I43" s="5" t="str">
        <f>IF(F43+H43&lt;G43+H43,"AWAY","HOME")</f>
        <v>HOME</v>
      </c>
      <c r="J43" s="4">
        <f>+IF((F43&gt;G43),(F43+H43)/100,(G43+H43)/100)</f>
        <v>0.8</v>
      </c>
    </row>
    <row r="44" spans="1:10" x14ac:dyDescent="0.3">
      <c r="A44" t="s">
        <v>243</v>
      </c>
      <c r="B44" t="s">
        <v>244</v>
      </c>
      <c r="C44" t="s">
        <v>75</v>
      </c>
      <c r="D44" t="s">
        <v>76</v>
      </c>
      <c r="E44" t="s">
        <v>232</v>
      </c>
      <c r="F44">
        <v>60</v>
      </c>
      <c r="G44">
        <v>20</v>
      </c>
      <c r="H44">
        <v>20</v>
      </c>
      <c r="I44" s="5" t="str">
        <f>IF(F44+H44&lt;G44+H44,"AWAY","HOME")</f>
        <v>HOME</v>
      </c>
      <c r="J44" s="4">
        <f>+IF((F44&gt;G44),(F44+H44)/100,(G44+H44)/100)</f>
        <v>0.8</v>
      </c>
    </row>
    <row r="45" spans="1:10" x14ac:dyDescent="0.3">
      <c r="A45" t="s">
        <v>263</v>
      </c>
      <c r="B45" t="s">
        <v>264</v>
      </c>
      <c r="C45" t="s">
        <v>139</v>
      </c>
      <c r="D45" t="s">
        <v>140</v>
      </c>
      <c r="E45" t="s">
        <v>249</v>
      </c>
      <c r="F45">
        <v>50</v>
      </c>
      <c r="G45">
        <v>20</v>
      </c>
      <c r="H45">
        <v>30</v>
      </c>
      <c r="I45" s="5" t="str">
        <f>IF(F45+H45&lt;G45+H45,"AWAY","HOME")</f>
        <v>HOME</v>
      </c>
      <c r="J45" s="4">
        <f>+IF((F45&gt;G45),(F45+H45)/100,(G45+H45)/100)</f>
        <v>0.8</v>
      </c>
    </row>
    <row r="46" spans="1:10" x14ac:dyDescent="0.3">
      <c r="A46" t="s">
        <v>265</v>
      </c>
      <c r="B46" t="s">
        <v>266</v>
      </c>
      <c r="C46" t="s">
        <v>57</v>
      </c>
      <c r="D46" t="s">
        <v>58</v>
      </c>
      <c r="E46" t="s">
        <v>249</v>
      </c>
      <c r="F46">
        <v>50</v>
      </c>
      <c r="G46">
        <v>20</v>
      </c>
      <c r="H46">
        <v>30</v>
      </c>
      <c r="I46" s="5" t="str">
        <f>IF(F46+H46&lt;G46+H46,"AWAY","HOME")</f>
        <v>HOME</v>
      </c>
      <c r="J46" s="4">
        <f>+IF((F46&gt;G46),(F46+H46)/100,(G46+H46)/100)</f>
        <v>0.8</v>
      </c>
    </row>
    <row r="47" spans="1:10" x14ac:dyDescent="0.3">
      <c r="A47" t="s">
        <v>278</v>
      </c>
      <c r="B47" t="s">
        <v>279</v>
      </c>
      <c r="C47" t="s">
        <v>19</v>
      </c>
      <c r="D47" t="s">
        <v>150</v>
      </c>
      <c r="E47" t="s">
        <v>273</v>
      </c>
      <c r="F47">
        <v>20</v>
      </c>
      <c r="G47">
        <v>50</v>
      </c>
      <c r="H47">
        <v>30</v>
      </c>
      <c r="I47" s="5" t="str">
        <f>IF(F47+H47&lt;G47+H47,"AWAY","HOME")</f>
        <v>AWAY</v>
      </c>
      <c r="J47" s="4">
        <f>+IF((F47&gt;G47),(F47+H47)/100,(G47+H47)/100)</f>
        <v>0.8</v>
      </c>
    </row>
    <row r="48" spans="1:10" x14ac:dyDescent="0.3">
      <c r="A48" t="s">
        <v>292</v>
      </c>
      <c r="B48" t="s">
        <v>293</v>
      </c>
      <c r="C48" t="s">
        <v>139</v>
      </c>
      <c r="D48" t="s">
        <v>140</v>
      </c>
      <c r="E48" t="s">
        <v>289</v>
      </c>
      <c r="F48">
        <v>50</v>
      </c>
      <c r="G48">
        <v>20</v>
      </c>
      <c r="H48">
        <v>30</v>
      </c>
      <c r="I48" s="5" t="str">
        <f>IF(F48+H48&lt;G48+H48,"AWAY","HOME")</f>
        <v>HOME</v>
      </c>
      <c r="J48" s="4">
        <f>+IF((F48&gt;G48),(F48+H48)/100,(G48+H48)/100)</f>
        <v>0.8</v>
      </c>
    </row>
    <row r="49" spans="1:10" x14ac:dyDescent="0.3">
      <c r="A49" t="s">
        <v>305</v>
      </c>
      <c r="B49" t="s">
        <v>306</v>
      </c>
      <c r="C49" t="s">
        <v>307</v>
      </c>
      <c r="D49" t="s">
        <v>308</v>
      </c>
      <c r="E49" t="s">
        <v>309</v>
      </c>
      <c r="F49">
        <v>50</v>
      </c>
      <c r="G49">
        <v>20</v>
      </c>
      <c r="H49">
        <v>30</v>
      </c>
      <c r="I49" s="5" t="str">
        <f>IF(F49+H49&lt;G49+H49,"AWAY","HOME")</f>
        <v>HOME</v>
      </c>
      <c r="J49" s="4">
        <f>+IF((F49&gt;G49),(F49+H49)/100,(G49+H49)/100)</f>
        <v>0.8</v>
      </c>
    </row>
    <row r="50" spans="1:10" x14ac:dyDescent="0.3">
      <c r="A50" t="s">
        <v>317</v>
      </c>
      <c r="B50" t="s">
        <v>318</v>
      </c>
      <c r="C50" t="s">
        <v>61</v>
      </c>
      <c r="D50" t="s">
        <v>62</v>
      </c>
      <c r="E50" t="s">
        <v>319</v>
      </c>
      <c r="F50">
        <v>55</v>
      </c>
      <c r="G50">
        <v>20</v>
      </c>
      <c r="H50">
        <v>25</v>
      </c>
      <c r="I50" s="5" t="str">
        <f>IF(F50+H50&lt;G50+H50,"AWAY","HOME")</f>
        <v>HOME</v>
      </c>
      <c r="J50" s="4">
        <f>+IF((F50&gt;G50),(F50+H50)/100,(G50+H50)/100)</f>
        <v>0.8</v>
      </c>
    </row>
    <row r="51" spans="1:10" x14ac:dyDescent="0.3">
      <c r="A51" t="s">
        <v>336</v>
      </c>
      <c r="B51" t="s">
        <v>337</v>
      </c>
      <c r="C51" t="s">
        <v>168</v>
      </c>
      <c r="D51" t="s">
        <v>169</v>
      </c>
      <c r="E51" t="s">
        <v>338</v>
      </c>
      <c r="F51">
        <v>50</v>
      </c>
      <c r="G51">
        <v>20</v>
      </c>
      <c r="H51">
        <v>30</v>
      </c>
      <c r="I51" s="11" t="str">
        <f>IF(F51+H51&lt;G51+H51,"AWAY","HOME")</f>
        <v>HOME</v>
      </c>
      <c r="J51" s="4">
        <f>+IF((F51&gt;G51),(F51+H51)/100,(G51+H51)/100)</f>
        <v>0.8</v>
      </c>
    </row>
    <row r="52" spans="1:10" x14ac:dyDescent="0.3">
      <c r="A52" t="s">
        <v>344</v>
      </c>
      <c r="B52" t="s">
        <v>345</v>
      </c>
      <c r="C52" t="s">
        <v>239</v>
      </c>
      <c r="D52" t="s">
        <v>240</v>
      </c>
      <c r="E52" t="s">
        <v>341</v>
      </c>
      <c r="F52">
        <v>55</v>
      </c>
      <c r="G52">
        <v>20</v>
      </c>
      <c r="H52">
        <v>25</v>
      </c>
      <c r="I52" s="5" t="str">
        <f>IF(F52+H52&lt;G52+H52,"AWAY","HOME")</f>
        <v>HOME</v>
      </c>
      <c r="J52" s="4">
        <f>+IF((F52&gt;G52),(F52+H52)/100,(G52+H52)/100)</f>
        <v>0.8</v>
      </c>
    </row>
    <row r="53" spans="1:10" x14ac:dyDescent="0.3">
      <c r="A53" t="s">
        <v>381</v>
      </c>
      <c r="B53" t="s">
        <v>382</v>
      </c>
      <c r="C53" t="s">
        <v>29</v>
      </c>
      <c r="D53" t="s">
        <v>324</v>
      </c>
      <c r="E53" t="s">
        <v>383</v>
      </c>
      <c r="F53">
        <v>55</v>
      </c>
      <c r="G53">
        <v>20</v>
      </c>
      <c r="H53">
        <v>25</v>
      </c>
      <c r="I53" s="10" t="str">
        <f>IF(F53+H53&lt;G53+H53,"AWAY","HOME")</f>
        <v>HOME</v>
      </c>
      <c r="J53" s="4">
        <f>+IF((F53&gt;G53),(F53+H53)/100,(G53+H53)/100)</f>
        <v>0.8</v>
      </c>
    </row>
    <row r="54" spans="1:10" x14ac:dyDescent="0.3">
      <c r="A54" t="s">
        <v>384</v>
      </c>
      <c r="B54" t="s">
        <v>385</v>
      </c>
      <c r="C54" t="s">
        <v>386</v>
      </c>
      <c r="D54" t="s">
        <v>387</v>
      </c>
      <c r="E54" t="s">
        <v>388</v>
      </c>
      <c r="F54">
        <v>50</v>
      </c>
      <c r="G54">
        <v>20</v>
      </c>
      <c r="H54">
        <v>30</v>
      </c>
      <c r="I54" s="6" t="str">
        <f>IF(F54+H54&lt;G54+H54,"AWAY","HOME")</f>
        <v>HOME</v>
      </c>
      <c r="J54" s="4">
        <f>+IF((F54&gt;G54),(F54+H54)/100,(G54+H54)/100)</f>
        <v>0.8</v>
      </c>
    </row>
    <row r="55" spans="1:10" x14ac:dyDescent="0.3">
      <c r="A55" t="s">
        <v>419</v>
      </c>
      <c r="B55" t="s">
        <v>420</v>
      </c>
      <c r="C55" t="s">
        <v>393</v>
      </c>
      <c r="D55" t="s">
        <v>350</v>
      </c>
      <c r="E55" t="s">
        <v>421</v>
      </c>
      <c r="F55">
        <v>50</v>
      </c>
      <c r="G55">
        <v>20</v>
      </c>
      <c r="H55">
        <v>30</v>
      </c>
      <c r="I55" s="10" t="str">
        <f>IF(F55+H55&lt;G55+H55,"AWAY","HOME")</f>
        <v>HOME</v>
      </c>
      <c r="J55" s="4">
        <f>+IF((F55&gt;G55),(F55+H55)/100,(G55+H55)/100)</f>
        <v>0.8</v>
      </c>
    </row>
    <row r="56" spans="1:10" x14ac:dyDescent="0.3">
      <c r="A56" t="s">
        <v>151</v>
      </c>
      <c r="B56" t="s">
        <v>152</v>
      </c>
      <c r="C56" t="s">
        <v>57</v>
      </c>
      <c r="D56" t="s">
        <v>58</v>
      </c>
      <c r="E56" t="s">
        <v>143</v>
      </c>
      <c r="F56">
        <v>53</v>
      </c>
      <c r="G56">
        <v>21</v>
      </c>
      <c r="H56">
        <v>26</v>
      </c>
      <c r="I56" s="5" t="str">
        <f>IF(F56+H56&lt;G56+H56,"AWAY","HOME")</f>
        <v>HOME</v>
      </c>
      <c r="J56" s="4">
        <f>+IF((F56&gt;G56),(F56+H56)/100,(G56+H56)/100)</f>
        <v>0.79</v>
      </c>
    </row>
    <row r="57" spans="1:10" x14ac:dyDescent="0.3">
      <c r="A57" t="s">
        <v>39</v>
      </c>
      <c r="B57" t="s">
        <v>40</v>
      </c>
      <c r="C57" t="s">
        <v>41</v>
      </c>
      <c r="D57" t="s">
        <v>42</v>
      </c>
      <c r="E57" t="s">
        <v>36</v>
      </c>
      <c r="F57">
        <v>22</v>
      </c>
      <c r="G57">
        <v>52</v>
      </c>
      <c r="H57">
        <v>26</v>
      </c>
      <c r="I57" s="5" t="str">
        <f>IF(F57+H57&lt;G57+H57,"AWAY","HOME")</f>
        <v>AWAY</v>
      </c>
      <c r="J57" s="4">
        <f>+IF((F57&gt;G57),(F57+H57)/100,(G57+H57)/100)</f>
        <v>0.78</v>
      </c>
    </row>
    <row r="58" spans="1:10" x14ac:dyDescent="0.3">
      <c r="A58" t="s">
        <v>405</v>
      </c>
      <c r="B58" t="s">
        <v>406</v>
      </c>
      <c r="C58" t="s">
        <v>307</v>
      </c>
      <c r="D58" t="s">
        <v>308</v>
      </c>
      <c r="E58" t="s">
        <v>402</v>
      </c>
      <c r="F58">
        <v>48</v>
      </c>
      <c r="G58">
        <v>22</v>
      </c>
      <c r="H58">
        <v>30</v>
      </c>
      <c r="I58" s="5" t="str">
        <f>IF(F58+H58&lt;G58+H58,"AWAY","HOME")</f>
        <v>HOME</v>
      </c>
      <c r="J58" s="4">
        <f>+IF((F58&gt;G58),(F58+H58)/100,(G58+H58)/100)</f>
        <v>0.78</v>
      </c>
    </row>
    <row r="59" spans="1:10" x14ac:dyDescent="0.3">
      <c r="A59" t="s">
        <v>409</v>
      </c>
      <c r="B59" t="s">
        <v>410</v>
      </c>
      <c r="C59" t="s">
        <v>29</v>
      </c>
      <c r="D59" t="s">
        <v>324</v>
      </c>
      <c r="E59" t="s">
        <v>411</v>
      </c>
      <c r="F59">
        <v>48</v>
      </c>
      <c r="G59">
        <v>22</v>
      </c>
      <c r="H59">
        <v>30</v>
      </c>
      <c r="I59" s="5" t="str">
        <f>IF(F59+H59&lt;G59+H59,"AWAY","HOME")</f>
        <v>HOME</v>
      </c>
      <c r="J59" s="4">
        <f>+IF((F59&gt;G59),(F59+H59)/100,(G59+H59)/100)</f>
        <v>0.78</v>
      </c>
    </row>
    <row r="60" spans="1:10" x14ac:dyDescent="0.3">
      <c r="A60" t="s">
        <v>141</v>
      </c>
      <c r="B60" t="s">
        <v>142</v>
      </c>
      <c r="C60" t="s">
        <v>19</v>
      </c>
      <c r="D60" t="s">
        <v>45</v>
      </c>
      <c r="E60" t="s">
        <v>143</v>
      </c>
      <c r="F60">
        <v>52</v>
      </c>
      <c r="G60">
        <v>23</v>
      </c>
      <c r="H60">
        <v>25</v>
      </c>
      <c r="I60" s="5" t="str">
        <f>IF(F60+H60&lt;G60+H60,"AWAY","HOME")</f>
        <v>HOME</v>
      </c>
      <c r="J60" s="4">
        <f>+IF((F60&gt;G60),(F60+H60)/100,(G60+H60)/100)</f>
        <v>0.77</v>
      </c>
    </row>
    <row r="61" spans="1:10" x14ac:dyDescent="0.3">
      <c r="A61" t="s">
        <v>64</v>
      </c>
      <c r="B61" t="s">
        <v>65</v>
      </c>
      <c r="C61" t="s">
        <v>66</v>
      </c>
      <c r="D61" t="s">
        <v>62</v>
      </c>
      <c r="E61" t="s">
        <v>63</v>
      </c>
      <c r="F61">
        <v>25</v>
      </c>
      <c r="G61">
        <v>45</v>
      </c>
      <c r="H61">
        <v>30</v>
      </c>
      <c r="I61" s="5" t="str">
        <f>IF(F61+H61&lt;G61+H61,"AWAY","HOME")</f>
        <v>AWAY</v>
      </c>
      <c r="J61" s="4">
        <f>+IF((F61&gt;G61),(F61+H61)/100,(G61+H61)/100)</f>
        <v>0.75</v>
      </c>
    </row>
    <row r="62" spans="1:10" x14ac:dyDescent="0.3">
      <c r="A62" t="s">
        <v>73</v>
      </c>
      <c r="B62" t="s">
        <v>74</v>
      </c>
      <c r="C62" t="s">
        <v>75</v>
      </c>
      <c r="D62" t="s">
        <v>76</v>
      </c>
      <c r="E62" t="s">
        <v>63</v>
      </c>
      <c r="F62">
        <v>45</v>
      </c>
      <c r="G62">
        <v>25</v>
      </c>
      <c r="H62">
        <v>30</v>
      </c>
      <c r="I62" s="6" t="str">
        <f>IF(F62+H62&lt;G62+H62,"AWAY","HOME")</f>
        <v>HOME</v>
      </c>
      <c r="J62" s="4">
        <f>+IF((F62&gt;G62),(F62+H62)/100,(G62+H62)/100)</f>
        <v>0.75</v>
      </c>
    </row>
    <row r="63" spans="1:10" x14ac:dyDescent="0.3">
      <c r="A63" t="s">
        <v>83</v>
      </c>
      <c r="B63" t="s">
        <v>84</v>
      </c>
      <c r="C63" t="s">
        <v>24</v>
      </c>
      <c r="D63" t="s">
        <v>25</v>
      </c>
      <c r="E63" t="s">
        <v>85</v>
      </c>
      <c r="F63">
        <v>25</v>
      </c>
      <c r="G63">
        <v>45</v>
      </c>
      <c r="H63">
        <v>30</v>
      </c>
      <c r="I63" s="6" t="str">
        <f>IF(F63+H63&lt;G63+H63,"AWAY","HOME")</f>
        <v>AWAY</v>
      </c>
      <c r="J63" s="4">
        <f>+IF((F63&gt;G63),(F63+H63)/100,(G63+H63)/100)</f>
        <v>0.75</v>
      </c>
    </row>
    <row r="64" spans="1:10" x14ac:dyDescent="0.3">
      <c r="A64" t="s">
        <v>112</v>
      </c>
      <c r="B64" t="s">
        <v>113</v>
      </c>
      <c r="C64" t="s">
        <v>29</v>
      </c>
      <c r="D64" t="s">
        <v>30</v>
      </c>
      <c r="E64" t="s">
        <v>97</v>
      </c>
      <c r="F64">
        <v>45</v>
      </c>
      <c r="G64">
        <v>25</v>
      </c>
      <c r="H64">
        <v>30</v>
      </c>
      <c r="I64" s="5" t="str">
        <f>IF(F64+H64&lt;G64+H64,"AWAY","HOME")</f>
        <v>HOME</v>
      </c>
      <c r="J64" s="4">
        <f>+IF((F64&gt;G64),(F64+H64)/100,(G64+H64)/100)</f>
        <v>0.75</v>
      </c>
    </row>
    <row r="65" spans="1:10" x14ac:dyDescent="0.3">
      <c r="A65" t="s">
        <v>123</v>
      </c>
      <c r="B65" t="s">
        <v>124</v>
      </c>
      <c r="C65" t="s">
        <v>121</v>
      </c>
      <c r="D65" t="s">
        <v>122</v>
      </c>
      <c r="E65" t="s">
        <v>97</v>
      </c>
      <c r="F65">
        <v>45</v>
      </c>
      <c r="G65">
        <v>25</v>
      </c>
      <c r="H65">
        <v>30</v>
      </c>
      <c r="I65" s="5" t="str">
        <f>IF(F65+H65&lt;G65+H65,"AWAY","HOME")</f>
        <v>HOME</v>
      </c>
      <c r="J65" s="4">
        <f>+IF((F65&gt;G65),(F65+H65)/100,(G65+H65)/100)</f>
        <v>0.75</v>
      </c>
    </row>
    <row r="66" spans="1:10" x14ac:dyDescent="0.3">
      <c r="A66" t="s">
        <v>134</v>
      </c>
      <c r="B66" t="s">
        <v>135</v>
      </c>
      <c r="C66" t="s">
        <v>81</v>
      </c>
      <c r="D66" t="s">
        <v>136</v>
      </c>
      <c r="E66" t="s">
        <v>127</v>
      </c>
      <c r="F66">
        <v>45</v>
      </c>
      <c r="G66">
        <v>25</v>
      </c>
      <c r="H66">
        <v>30</v>
      </c>
      <c r="I66" s="5" t="str">
        <f>IF(F66+H66&lt;G66+H66,"AWAY","HOME")</f>
        <v>HOME</v>
      </c>
      <c r="J66" s="4">
        <f>+IF((F66&gt;G66),(F66+H66)/100,(G66+H66)/100)</f>
        <v>0.75</v>
      </c>
    </row>
    <row r="67" spans="1:10" x14ac:dyDescent="0.3">
      <c r="A67" t="s">
        <v>144</v>
      </c>
      <c r="B67" t="s">
        <v>145</v>
      </c>
      <c r="C67" t="s">
        <v>146</v>
      </c>
      <c r="D67" t="s">
        <v>147</v>
      </c>
      <c r="E67" t="s">
        <v>143</v>
      </c>
      <c r="F67">
        <v>45</v>
      </c>
      <c r="G67">
        <v>25</v>
      </c>
      <c r="H67">
        <v>30</v>
      </c>
      <c r="I67" s="5" t="str">
        <f>IF(F67+H67&lt;G67+H67,"AWAY","HOME")</f>
        <v>HOME</v>
      </c>
      <c r="J67" s="4">
        <f>+IF((F67&gt;G67),(F67+H67)/100,(G67+H67)/100)</f>
        <v>0.75</v>
      </c>
    </row>
    <row r="68" spans="1:10" x14ac:dyDescent="0.3">
      <c r="A68" t="s">
        <v>148</v>
      </c>
      <c r="B68" t="s">
        <v>149</v>
      </c>
      <c r="C68" t="s">
        <v>19</v>
      </c>
      <c r="D68" t="s">
        <v>150</v>
      </c>
      <c r="E68" t="s">
        <v>143</v>
      </c>
      <c r="F68">
        <v>45</v>
      </c>
      <c r="G68">
        <v>25</v>
      </c>
      <c r="H68">
        <v>30</v>
      </c>
      <c r="I68" s="5" t="str">
        <f>IF(F68+H68&lt;G68+H68,"AWAY","HOME")</f>
        <v>HOME</v>
      </c>
      <c r="J68" s="4">
        <f>+IF((F68&gt;G68),(F68+H68)/100,(G68+H68)/100)</f>
        <v>0.75</v>
      </c>
    </row>
    <row r="69" spans="1:10" x14ac:dyDescent="0.3">
      <c r="A69" t="s">
        <v>173</v>
      </c>
      <c r="B69" t="s">
        <v>174</v>
      </c>
      <c r="C69" t="s">
        <v>69</v>
      </c>
      <c r="D69" t="s">
        <v>70</v>
      </c>
      <c r="E69" t="s">
        <v>170</v>
      </c>
      <c r="F69">
        <v>50</v>
      </c>
      <c r="G69">
        <v>25</v>
      </c>
      <c r="H69">
        <v>25</v>
      </c>
      <c r="I69" s="6" t="str">
        <f>IF(F69+H69&lt;G69+H69,"AWAY","HOME")</f>
        <v>HOME</v>
      </c>
      <c r="J69" s="4">
        <f>+IF((F69&gt;G69),(F69+H69)/100,(G69+H69)/100)</f>
        <v>0.75</v>
      </c>
    </row>
    <row r="70" spans="1:10" x14ac:dyDescent="0.3">
      <c r="A70" t="s">
        <v>178</v>
      </c>
      <c r="B70" t="s">
        <v>179</v>
      </c>
      <c r="C70" t="s">
        <v>19</v>
      </c>
      <c r="D70" t="s">
        <v>20</v>
      </c>
      <c r="E70" t="s">
        <v>180</v>
      </c>
      <c r="F70">
        <v>45</v>
      </c>
      <c r="G70">
        <v>25</v>
      </c>
      <c r="H70">
        <v>30</v>
      </c>
      <c r="I70" s="6" t="str">
        <f>IF(F70+H70&lt;G70+H70,"AWAY","HOME")</f>
        <v>HOME</v>
      </c>
      <c r="J70" s="4">
        <f>+IF((F70&gt;G70),(F70+H70)/100,(G70+H70)/100)</f>
        <v>0.75</v>
      </c>
    </row>
    <row r="71" spans="1:10" x14ac:dyDescent="0.3">
      <c r="A71" t="s">
        <v>194</v>
      </c>
      <c r="B71" t="s">
        <v>195</v>
      </c>
      <c r="C71" t="s">
        <v>92</v>
      </c>
      <c r="D71" t="s">
        <v>93</v>
      </c>
      <c r="E71" t="s">
        <v>180</v>
      </c>
      <c r="F71">
        <v>50</v>
      </c>
      <c r="G71">
        <v>25</v>
      </c>
      <c r="H71">
        <v>25</v>
      </c>
      <c r="I71" s="5" t="str">
        <f>IF(F71+H71&lt;G71+H71,"AWAY","HOME")</f>
        <v>HOME</v>
      </c>
      <c r="J71" s="4">
        <f>+IF((F71&gt;G71),(F71+H71)/100,(G71+H71)/100)</f>
        <v>0.75</v>
      </c>
    </row>
    <row r="72" spans="1:10" x14ac:dyDescent="0.3">
      <c r="A72" t="s">
        <v>200</v>
      </c>
      <c r="B72" t="s">
        <v>201</v>
      </c>
      <c r="C72" t="s">
        <v>157</v>
      </c>
      <c r="D72" t="s">
        <v>158</v>
      </c>
      <c r="E72" t="s">
        <v>180</v>
      </c>
      <c r="F72">
        <v>45</v>
      </c>
      <c r="G72">
        <v>25</v>
      </c>
      <c r="H72">
        <v>30</v>
      </c>
      <c r="I72" s="5" t="str">
        <f>IF(F72+H72&lt;G72+H72,"AWAY","HOME")</f>
        <v>HOME</v>
      </c>
      <c r="J72" s="4">
        <f>+IF((F72&gt;G72),(F72+H72)/100,(G72+H72)/100)</f>
        <v>0.75</v>
      </c>
    </row>
    <row r="73" spans="1:10" x14ac:dyDescent="0.3">
      <c r="A73" t="s">
        <v>202</v>
      </c>
      <c r="B73" t="s">
        <v>203</v>
      </c>
      <c r="C73" t="s">
        <v>157</v>
      </c>
      <c r="D73" t="s">
        <v>158</v>
      </c>
      <c r="E73" t="s">
        <v>180</v>
      </c>
      <c r="F73">
        <v>50</v>
      </c>
      <c r="G73">
        <v>25</v>
      </c>
      <c r="H73">
        <v>25</v>
      </c>
      <c r="I73" s="5" t="str">
        <f>IF(F73+H73&lt;G73+H73,"AWAY","HOME")</f>
        <v>HOME</v>
      </c>
      <c r="J73" s="4">
        <f>+IF((F73&gt;G73),(F73+H73)/100,(G73+H73)/100)</f>
        <v>0.75</v>
      </c>
    </row>
    <row r="74" spans="1:10" x14ac:dyDescent="0.3">
      <c r="A74" t="s">
        <v>208</v>
      </c>
      <c r="B74" t="s">
        <v>209</v>
      </c>
      <c r="C74" t="s">
        <v>210</v>
      </c>
      <c r="D74" t="s">
        <v>211</v>
      </c>
      <c r="E74" t="s">
        <v>180</v>
      </c>
      <c r="F74">
        <v>45</v>
      </c>
      <c r="G74">
        <v>25</v>
      </c>
      <c r="H74">
        <v>30</v>
      </c>
      <c r="I74" s="5" t="str">
        <f>IF(F74+H74&lt;G74+H74,"AWAY","HOME")</f>
        <v>HOME</v>
      </c>
      <c r="J74" s="4">
        <f>+IF((F74&gt;G74),(F74+H74)/100,(G74+H74)/100)</f>
        <v>0.75</v>
      </c>
    </row>
    <row r="75" spans="1:10" x14ac:dyDescent="0.3">
      <c r="A75" t="s">
        <v>215</v>
      </c>
      <c r="B75" t="s">
        <v>216</v>
      </c>
      <c r="C75" t="s">
        <v>104</v>
      </c>
      <c r="D75" t="s">
        <v>105</v>
      </c>
      <c r="E75" t="s">
        <v>214</v>
      </c>
      <c r="F75">
        <v>45</v>
      </c>
      <c r="G75">
        <v>25</v>
      </c>
      <c r="H75">
        <v>30</v>
      </c>
      <c r="I75" s="5" t="str">
        <f>IF(F75+H75&lt;G75+H75,"AWAY","HOME")</f>
        <v>HOME</v>
      </c>
      <c r="J75" s="4">
        <f>+IF((F75&gt;G75),(F75+H75)/100,(G75+H75)/100)</f>
        <v>0.75</v>
      </c>
    </row>
    <row r="76" spans="1:10" x14ac:dyDescent="0.3">
      <c r="A76" t="s">
        <v>219</v>
      </c>
      <c r="B76" t="s">
        <v>220</v>
      </c>
      <c r="C76" t="s">
        <v>221</v>
      </c>
      <c r="D76" t="s">
        <v>222</v>
      </c>
      <c r="E76" t="s">
        <v>214</v>
      </c>
      <c r="F76">
        <v>50</v>
      </c>
      <c r="G76">
        <v>25</v>
      </c>
      <c r="H76">
        <v>25</v>
      </c>
      <c r="I76" s="5" t="str">
        <f>IF(F76+H76&lt;G76+H76,"AWAY","HOME")</f>
        <v>HOME</v>
      </c>
      <c r="J76" s="4">
        <f>+IF((F76&gt;G76),(F76+H76)/100,(G76+H76)/100)</f>
        <v>0.75</v>
      </c>
    </row>
    <row r="77" spans="1:10" x14ac:dyDescent="0.3">
      <c r="A77" t="s">
        <v>223</v>
      </c>
      <c r="B77" t="s">
        <v>224</v>
      </c>
      <c r="C77" t="s">
        <v>19</v>
      </c>
      <c r="D77" t="s">
        <v>96</v>
      </c>
      <c r="E77" t="s">
        <v>225</v>
      </c>
      <c r="F77">
        <v>45</v>
      </c>
      <c r="G77">
        <v>25</v>
      </c>
      <c r="H77">
        <v>30</v>
      </c>
      <c r="I77" s="5" t="str">
        <f>IF(F77+H77&lt;G77+H77,"AWAY","HOME")</f>
        <v>HOME</v>
      </c>
      <c r="J77" s="4">
        <f>+IF((F77&gt;G77),(F77+H77)/100,(G77+H77)/100)</f>
        <v>0.75</v>
      </c>
    </row>
    <row r="78" spans="1:10" x14ac:dyDescent="0.3">
      <c r="A78" t="s">
        <v>226</v>
      </c>
      <c r="B78" t="s">
        <v>227</v>
      </c>
      <c r="C78" t="s">
        <v>108</v>
      </c>
      <c r="D78" t="s">
        <v>109</v>
      </c>
      <c r="E78" t="s">
        <v>225</v>
      </c>
      <c r="F78">
        <v>50</v>
      </c>
      <c r="G78">
        <v>25</v>
      </c>
      <c r="H78">
        <v>25</v>
      </c>
      <c r="I78" s="5" t="str">
        <f>IF(F78+H78&lt;G78+H78,"AWAY","HOME")</f>
        <v>HOME</v>
      </c>
      <c r="J78" s="4">
        <f>+IF((F78&gt;G78),(F78+H78)/100,(G78+H78)/100)</f>
        <v>0.75</v>
      </c>
    </row>
    <row r="79" spans="1:10" x14ac:dyDescent="0.3">
      <c r="A79" t="s">
        <v>230</v>
      </c>
      <c r="B79" t="s">
        <v>231</v>
      </c>
      <c r="C79" t="s">
        <v>29</v>
      </c>
      <c r="D79" t="s">
        <v>30</v>
      </c>
      <c r="E79" t="s">
        <v>232</v>
      </c>
      <c r="F79">
        <v>35</v>
      </c>
      <c r="G79">
        <v>25</v>
      </c>
      <c r="H79">
        <v>40</v>
      </c>
      <c r="I79" s="5" t="str">
        <f>IF(F79+H79&lt;G79+H79,"AWAY","HOME")</f>
        <v>HOME</v>
      </c>
      <c r="J79" s="4">
        <f>+IF((F79&gt;G79),(F79+H79)/100,(G79+H79)/100)</f>
        <v>0.75</v>
      </c>
    </row>
    <row r="80" spans="1:10" x14ac:dyDescent="0.3">
      <c r="A80" t="s">
        <v>233</v>
      </c>
      <c r="B80" t="s">
        <v>234</v>
      </c>
      <c r="C80" t="s">
        <v>121</v>
      </c>
      <c r="D80" t="s">
        <v>122</v>
      </c>
      <c r="E80" t="s">
        <v>232</v>
      </c>
      <c r="F80">
        <v>25</v>
      </c>
      <c r="G80">
        <v>45</v>
      </c>
      <c r="H80">
        <v>30</v>
      </c>
      <c r="I80" s="5" t="str">
        <f>IF(F80+H80&lt;G80+H80,"AWAY","HOME")</f>
        <v>AWAY</v>
      </c>
      <c r="J80" s="4">
        <f>+IF((F80&gt;G80),(F80+H80)/100,(G80+H80)/100)</f>
        <v>0.75</v>
      </c>
    </row>
    <row r="81" spans="1:10" x14ac:dyDescent="0.3">
      <c r="A81" t="s">
        <v>241</v>
      </c>
      <c r="B81" t="s">
        <v>242</v>
      </c>
      <c r="C81" t="s">
        <v>139</v>
      </c>
      <c r="D81" t="s">
        <v>140</v>
      </c>
      <c r="E81" t="s">
        <v>232</v>
      </c>
      <c r="F81">
        <v>45</v>
      </c>
      <c r="G81">
        <v>25</v>
      </c>
      <c r="H81">
        <v>30</v>
      </c>
      <c r="I81" s="5" t="str">
        <f>IF(F81+H81&lt;G81+H81,"AWAY","HOME")</f>
        <v>HOME</v>
      </c>
      <c r="J81" s="4">
        <f>+IF((F81&gt;G81),(F81+H81)/100,(G81+H81)/100)</f>
        <v>0.75</v>
      </c>
    </row>
    <row r="82" spans="1:10" x14ac:dyDescent="0.3">
      <c r="A82" t="s">
        <v>247</v>
      </c>
      <c r="B82" t="s">
        <v>248</v>
      </c>
      <c r="C82" t="s">
        <v>61</v>
      </c>
      <c r="D82" t="s">
        <v>62</v>
      </c>
      <c r="E82" t="s">
        <v>249</v>
      </c>
      <c r="F82">
        <v>40</v>
      </c>
      <c r="G82">
        <v>25</v>
      </c>
      <c r="H82">
        <v>35</v>
      </c>
      <c r="I82" s="6" t="str">
        <f>IF(F82+H82&lt;G82+H82,"AWAY","HOME")</f>
        <v>HOME</v>
      </c>
      <c r="J82" s="4">
        <f>+IF((F82&gt;G82),(F82+H82)/100,(G82+H82)/100)</f>
        <v>0.75</v>
      </c>
    </row>
    <row r="83" spans="1:10" x14ac:dyDescent="0.3">
      <c r="A83" t="s">
        <v>250</v>
      </c>
      <c r="B83" t="s">
        <v>251</v>
      </c>
      <c r="C83" t="s">
        <v>34</v>
      </c>
      <c r="D83" t="s">
        <v>35</v>
      </c>
      <c r="E83" t="s">
        <v>249</v>
      </c>
      <c r="F83">
        <v>25</v>
      </c>
      <c r="G83">
        <v>45</v>
      </c>
      <c r="H83">
        <v>30</v>
      </c>
      <c r="I83" s="5" t="str">
        <f>IF(F83+H83&lt;G83+H83,"AWAY","HOME")</f>
        <v>AWAY</v>
      </c>
      <c r="J83" s="4">
        <f>+IF((F83&gt;G83),(F83+H83)/100,(G83+H83)/100)</f>
        <v>0.75</v>
      </c>
    </row>
    <row r="84" spans="1:10" x14ac:dyDescent="0.3">
      <c r="A84" t="s">
        <v>258</v>
      </c>
      <c r="B84" t="s">
        <v>259</v>
      </c>
      <c r="C84" t="s">
        <v>66</v>
      </c>
      <c r="D84" t="s">
        <v>62</v>
      </c>
      <c r="E84" t="s">
        <v>249</v>
      </c>
      <c r="F84">
        <v>40</v>
      </c>
      <c r="G84">
        <v>25</v>
      </c>
      <c r="H84">
        <v>35</v>
      </c>
      <c r="I84" s="5" t="str">
        <f>IF(F84+H84&lt;G84+H84,"AWAY","HOME")</f>
        <v>HOME</v>
      </c>
      <c r="J84" s="4">
        <f>+IF((F84&gt;G84),(F84+H84)/100,(G84+H84)/100)</f>
        <v>0.75</v>
      </c>
    </row>
    <row r="85" spans="1:10" x14ac:dyDescent="0.3">
      <c r="A85" t="s">
        <v>260</v>
      </c>
      <c r="B85" t="s">
        <v>261</v>
      </c>
      <c r="C85" t="s">
        <v>239</v>
      </c>
      <c r="D85" t="s">
        <v>262</v>
      </c>
      <c r="E85" t="s">
        <v>249</v>
      </c>
      <c r="F85">
        <v>40</v>
      </c>
      <c r="G85">
        <v>25</v>
      </c>
      <c r="H85">
        <v>35</v>
      </c>
      <c r="I85" s="5" t="str">
        <f>IF(F85+H85&lt;G85+H85,"AWAY","HOME")</f>
        <v>HOME</v>
      </c>
      <c r="J85" s="4">
        <f>+IF((F85&gt;G85),(F85+H85)/100,(G85+H85)/100)</f>
        <v>0.75</v>
      </c>
    </row>
    <row r="86" spans="1:10" x14ac:dyDescent="0.3">
      <c r="A86" t="s">
        <v>267</v>
      </c>
      <c r="B86" t="s">
        <v>268</v>
      </c>
      <c r="C86" t="s">
        <v>157</v>
      </c>
      <c r="D86" t="s">
        <v>158</v>
      </c>
      <c r="E86" t="s">
        <v>249</v>
      </c>
      <c r="F86">
        <v>50</v>
      </c>
      <c r="G86">
        <v>25</v>
      </c>
      <c r="H86">
        <v>25</v>
      </c>
      <c r="I86" s="6" t="str">
        <f>IF(F86+H86&lt;G86+H86,"AWAY","HOME")</f>
        <v>HOME</v>
      </c>
      <c r="J86" s="4">
        <f>+IF((F86&gt;G86),(F86+H86)/100,(G86+H86)/100)</f>
        <v>0.75</v>
      </c>
    </row>
    <row r="87" spans="1:10" x14ac:dyDescent="0.3">
      <c r="A87" t="s">
        <v>269</v>
      </c>
      <c r="B87" t="s">
        <v>270</v>
      </c>
      <c r="C87" t="s">
        <v>157</v>
      </c>
      <c r="D87" t="s">
        <v>158</v>
      </c>
      <c r="E87" t="s">
        <v>249</v>
      </c>
      <c r="F87">
        <v>45</v>
      </c>
      <c r="G87">
        <v>25</v>
      </c>
      <c r="H87">
        <v>30</v>
      </c>
      <c r="I87" s="5" t="str">
        <f>IF(F87+H87&lt;G87+H87,"AWAY","HOME")</f>
        <v>HOME</v>
      </c>
      <c r="J87" s="4">
        <f>+IF((F87&gt;G87),(F87+H87)/100,(G87+H87)/100)</f>
        <v>0.75</v>
      </c>
    </row>
    <row r="88" spans="1:10" x14ac:dyDescent="0.3">
      <c r="A88" t="s">
        <v>285</v>
      </c>
      <c r="B88" t="s">
        <v>286</v>
      </c>
      <c r="C88" t="s">
        <v>287</v>
      </c>
      <c r="D88" t="s">
        <v>288</v>
      </c>
      <c r="E88" t="s">
        <v>289</v>
      </c>
      <c r="F88">
        <v>45</v>
      </c>
      <c r="G88">
        <v>25</v>
      </c>
      <c r="H88">
        <v>30</v>
      </c>
      <c r="I88" s="5" t="str">
        <f>IF(F88+H88&lt;G88+H88,"AWAY","HOME")</f>
        <v>HOME</v>
      </c>
      <c r="J88" s="4">
        <f>+IF((F88&gt;G88),(F88+H88)/100,(G88+H88)/100)</f>
        <v>0.75</v>
      </c>
    </row>
    <row r="89" spans="1:10" x14ac:dyDescent="0.3">
      <c r="A89" t="s">
        <v>290</v>
      </c>
      <c r="B89" t="s">
        <v>291</v>
      </c>
      <c r="C89" t="s">
        <v>221</v>
      </c>
      <c r="D89" t="s">
        <v>222</v>
      </c>
      <c r="E89" t="s">
        <v>289</v>
      </c>
      <c r="F89">
        <v>40</v>
      </c>
      <c r="G89">
        <v>25</v>
      </c>
      <c r="H89">
        <v>35</v>
      </c>
      <c r="I89" s="5" t="str">
        <f>IF(F89+H89&lt;G89+H89,"AWAY","HOME")</f>
        <v>HOME</v>
      </c>
      <c r="J89" s="4">
        <f>+IF((F89&gt;G89),(F89+H89)/100,(G89+H89)/100)</f>
        <v>0.75</v>
      </c>
    </row>
    <row r="90" spans="1:10" x14ac:dyDescent="0.3">
      <c r="A90" t="s">
        <v>294</v>
      </c>
      <c r="B90" t="s">
        <v>295</v>
      </c>
      <c r="C90" t="s">
        <v>81</v>
      </c>
      <c r="D90" t="s">
        <v>82</v>
      </c>
      <c r="E90" t="s">
        <v>289</v>
      </c>
      <c r="F90">
        <v>45</v>
      </c>
      <c r="G90">
        <v>25</v>
      </c>
      <c r="H90">
        <v>30</v>
      </c>
      <c r="I90" s="6" t="str">
        <f>IF(F90+H90&lt;G90+H90,"AWAY","HOME")</f>
        <v>HOME</v>
      </c>
      <c r="J90" s="4">
        <f>+IF((F90&gt;G90),(F90+H90)/100,(G90+H90)/100)</f>
        <v>0.75</v>
      </c>
    </row>
    <row r="91" spans="1:10" x14ac:dyDescent="0.3">
      <c r="A91" t="s">
        <v>310</v>
      </c>
      <c r="B91" t="s">
        <v>311</v>
      </c>
      <c r="C91" t="s">
        <v>307</v>
      </c>
      <c r="D91" t="s">
        <v>308</v>
      </c>
      <c r="E91" t="s">
        <v>309</v>
      </c>
      <c r="F91">
        <v>40</v>
      </c>
      <c r="G91">
        <v>25</v>
      </c>
      <c r="H91">
        <v>35</v>
      </c>
      <c r="I91" s="5" t="str">
        <f>IF(F91+H91&lt;G91+H91,"AWAY","HOME")</f>
        <v>HOME</v>
      </c>
      <c r="J91" s="4">
        <f>+IF((F91&gt;G91),(F91+H91)/100,(G91+H91)/100)</f>
        <v>0.75</v>
      </c>
    </row>
    <row r="92" spans="1:10" x14ac:dyDescent="0.3">
      <c r="A92" t="s">
        <v>315</v>
      </c>
      <c r="B92" t="s">
        <v>316</v>
      </c>
      <c r="C92" t="s">
        <v>29</v>
      </c>
      <c r="D92" t="s">
        <v>30</v>
      </c>
      <c r="E92" t="s">
        <v>314</v>
      </c>
      <c r="F92">
        <v>40</v>
      </c>
      <c r="G92">
        <v>25</v>
      </c>
      <c r="H92">
        <v>35</v>
      </c>
      <c r="I92" s="10" t="str">
        <f>IF(F92+H92&lt;G92+H92,"AWAY","HOME")</f>
        <v>HOME</v>
      </c>
      <c r="J92" s="4">
        <f>+IF((F92&gt;G92),(F92+H92)/100,(G92+H92)/100)</f>
        <v>0.75</v>
      </c>
    </row>
    <row r="93" spans="1:10" x14ac:dyDescent="0.3">
      <c r="A93" t="s">
        <v>331</v>
      </c>
      <c r="B93" t="s">
        <v>332</v>
      </c>
      <c r="C93" t="s">
        <v>146</v>
      </c>
      <c r="D93" t="s">
        <v>147</v>
      </c>
      <c r="E93" t="s">
        <v>333</v>
      </c>
      <c r="F93">
        <v>50</v>
      </c>
      <c r="G93">
        <v>25</v>
      </c>
      <c r="H93">
        <v>25</v>
      </c>
      <c r="I93" s="5" t="str">
        <f>IF(F93+H93&lt;G93+H93,"AWAY","HOME")</f>
        <v>HOME</v>
      </c>
      <c r="J93" s="4">
        <f>+IF((F93&gt;G93),(F93+H93)/100,(G93+H93)/100)</f>
        <v>0.75</v>
      </c>
    </row>
    <row r="94" spans="1:10" x14ac:dyDescent="0.3">
      <c r="A94" t="s">
        <v>346</v>
      </c>
      <c r="B94" t="s">
        <v>347</v>
      </c>
      <c r="C94" t="s">
        <v>29</v>
      </c>
      <c r="D94" t="s">
        <v>324</v>
      </c>
      <c r="E94" t="s">
        <v>341</v>
      </c>
      <c r="F94">
        <v>50</v>
      </c>
      <c r="G94">
        <v>25</v>
      </c>
      <c r="H94">
        <v>25</v>
      </c>
      <c r="I94" s="5" t="str">
        <f>IF(F94+H94&lt;G94+H94,"AWAY","HOME")</f>
        <v>HOME</v>
      </c>
      <c r="J94" s="4">
        <f>+IF((F94&gt;G94),(F94+H94)/100,(G94+H94)/100)</f>
        <v>0.75</v>
      </c>
    </row>
    <row r="95" spans="1:10" x14ac:dyDescent="0.3">
      <c r="A95" t="s">
        <v>355</v>
      </c>
      <c r="B95" t="s">
        <v>356</v>
      </c>
      <c r="C95" t="s">
        <v>357</v>
      </c>
      <c r="D95" t="s">
        <v>358</v>
      </c>
      <c r="E95" t="s">
        <v>354</v>
      </c>
      <c r="F95">
        <v>45</v>
      </c>
      <c r="G95">
        <v>25</v>
      </c>
      <c r="H95">
        <v>30</v>
      </c>
      <c r="I95" s="5" t="str">
        <f>IF(F95+H95&lt;G95+H95,"AWAY","HOME")</f>
        <v>HOME</v>
      </c>
      <c r="J95" s="4">
        <f>+IF((F95&gt;G95),(F95+H95)/100,(G95+H95)/100)</f>
        <v>0.75</v>
      </c>
    </row>
    <row r="96" spans="1:10" x14ac:dyDescent="0.3">
      <c r="A96" t="s">
        <v>359</v>
      </c>
      <c r="B96" t="s">
        <v>360</v>
      </c>
      <c r="C96" t="s">
        <v>361</v>
      </c>
      <c r="D96" t="s">
        <v>362</v>
      </c>
      <c r="E96" t="s">
        <v>354</v>
      </c>
      <c r="F96">
        <v>25</v>
      </c>
      <c r="G96">
        <v>40</v>
      </c>
      <c r="H96">
        <v>35</v>
      </c>
      <c r="I96" s="6" t="str">
        <f>IF(F96+H96&lt;G96+H96,"AWAY","HOME")</f>
        <v>AWAY</v>
      </c>
      <c r="J96" s="4">
        <f>+IF((F96&gt;G96),(F96+H96)/100,(G96+H96)/100)</f>
        <v>0.75</v>
      </c>
    </row>
    <row r="97" spans="1:10" x14ac:dyDescent="0.3">
      <c r="A97" t="s">
        <v>391</v>
      </c>
      <c r="B97" t="s">
        <v>392</v>
      </c>
      <c r="C97" t="s">
        <v>393</v>
      </c>
      <c r="D97" t="s">
        <v>350</v>
      </c>
      <c r="E97" t="s">
        <v>388</v>
      </c>
      <c r="F97">
        <v>45</v>
      </c>
      <c r="G97">
        <v>25</v>
      </c>
      <c r="H97">
        <v>30</v>
      </c>
      <c r="I97" s="5" t="str">
        <f>IF(F97+H97&lt;G97+H97,"AWAY","HOME")</f>
        <v>HOME</v>
      </c>
      <c r="J97" s="4">
        <f>+IF((F97&gt;G97),(F97+H97)/100,(G97+H97)/100)</f>
        <v>0.75</v>
      </c>
    </row>
    <row r="98" spans="1:10" x14ac:dyDescent="0.3">
      <c r="A98" t="s">
        <v>394</v>
      </c>
      <c r="B98" t="s">
        <v>395</v>
      </c>
      <c r="C98" t="s">
        <v>287</v>
      </c>
      <c r="D98" t="s">
        <v>288</v>
      </c>
      <c r="E98" t="s">
        <v>388</v>
      </c>
      <c r="F98">
        <v>45</v>
      </c>
      <c r="G98">
        <v>25</v>
      </c>
      <c r="H98">
        <v>30</v>
      </c>
      <c r="I98" s="5" t="str">
        <f>IF(F98+H98&lt;G98+H98,"AWAY","HOME")</f>
        <v>HOME</v>
      </c>
      <c r="J98" s="4">
        <f>+IF((F98&gt;G98),(F98+H98)/100,(G98+H98)/100)</f>
        <v>0.75</v>
      </c>
    </row>
    <row r="99" spans="1:10" x14ac:dyDescent="0.3">
      <c r="A99" t="s">
        <v>396</v>
      </c>
      <c r="B99" t="s">
        <v>397</v>
      </c>
      <c r="C99" t="s">
        <v>29</v>
      </c>
      <c r="D99" t="s">
        <v>324</v>
      </c>
      <c r="E99" t="s">
        <v>388</v>
      </c>
      <c r="F99">
        <v>45</v>
      </c>
      <c r="G99">
        <v>25</v>
      </c>
      <c r="H99">
        <v>30</v>
      </c>
      <c r="I99" s="5" t="str">
        <f>IF(F99+H99&lt;G99+H99,"AWAY","HOME")</f>
        <v>HOME</v>
      </c>
      <c r="J99" s="4">
        <f>+IF((F99&gt;G99),(F99+H99)/100,(G99+H99)/100)</f>
        <v>0.75</v>
      </c>
    </row>
    <row r="100" spans="1:10" x14ac:dyDescent="0.3">
      <c r="A100" t="s">
        <v>407</v>
      </c>
      <c r="B100" t="s">
        <v>408</v>
      </c>
      <c r="C100" t="s">
        <v>370</v>
      </c>
      <c r="D100" t="s">
        <v>371</v>
      </c>
      <c r="E100" t="s">
        <v>402</v>
      </c>
      <c r="F100">
        <v>40</v>
      </c>
      <c r="G100">
        <v>25</v>
      </c>
      <c r="H100">
        <v>35</v>
      </c>
      <c r="I100" s="5" t="str">
        <f>IF(F100+H100&lt;G100+H100,"AWAY","HOME")</f>
        <v>HOME</v>
      </c>
      <c r="J100" s="4">
        <f>+IF((F100&gt;G100),(F100+H100)/100,(G100+H100)/100)</f>
        <v>0.75</v>
      </c>
    </row>
    <row r="101" spans="1:10" x14ac:dyDescent="0.3">
      <c r="A101" t="s">
        <v>417</v>
      </c>
      <c r="B101" t="s">
        <v>418</v>
      </c>
      <c r="C101" t="s">
        <v>239</v>
      </c>
      <c r="D101" t="s">
        <v>240</v>
      </c>
      <c r="E101" t="s">
        <v>416</v>
      </c>
      <c r="F101">
        <v>45</v>
      </c>
      <c r="G101">
        <v>25</v>
      </c>
      <c r="H101">
        <v>30</v>
      </c>
      <c r="I101" s="5" t="str">
        <f>IF(F101+H101&lt;G101+H101,"AWAY","HOME")</f>
        <v>HOME</v>
      </c>
      <c r="J101" s="4">
        <f>+IF((F101&gt;G101),(F101+H101)/100,(G101+H101)/100)</f>
        <v>0.75</v>
      </c>
    </row>
    <row r="102" spans="1:10" x14ac:dyDescent="0.3">
      <c r="A102" t="s">
        <v>422</v>
      </c>
      <c r="B102" t="s">
        <v>423</v>
      </c>
      <c r="C102" t="s">
        <v>374</v>
      </c>
      <c r="D102" t="s">
        <v>375</v>
      </c>
      <c r="E102" t="s">
        <v>424</v>
      </c>
      <c r="F102">
        <v>25</v>
      </c>
      <c r="G102">
        <v>40</v>
      </c>
      <c r="H102">
        <v>35</v>
      </c>
      <c r="I102" s="5" t="str">
        <f>IF(F102+H102&lt;G102+H102,"AWAY","HOME")</f>
        <v>AWAY</v>
      </c>
      <c r="J102" s="4">
        <f>+IF((F102&gt;G102),(F102+H102)/100,(G102+H102)/100)</f>
        <v>0.75</v>
      </c>
    </row>
    <row r="103" spans="1:10" x14ac:dyDescent="0.3">
      <c r="A103" t="s">
        <v>155</v>
      </c>
      <c r="B103" t="s">
        <v>156</v>
      </c>
      <c r="C103" t="s">
        <v>157</v>
      </c>
      <c r="D103" t="s">
        <v>158</v>
      </c>
      <c r="E103" t="s">
        <v>143</v>
      </c>
      <c r="F103">
        <v>43</v>
      </c>
      <c r="G103">
        <v>26</v>
      </c>
      <c r="H103">
        <v>31</v>
      </c>
      <c r="I103" s="6" t="str">
        <f>IF(F103+H103&lt;G103+H103,"AWAY","HOME")</f>
        <v>HOME</v>
      </c>
      <c r="J103" s="4">
        <f>+IF((F103&gt;G103),(F103+H103)/100,(G103+H103)/100)</f>
        <v>0.74</v>
      </c>
    </row>
    <row r="104" spans="1:10" x14ac:dyDescent="0.3">
      <c r="A104" t="s">
        <v>398</v>
      </c>
      <c r="B104" t="s">
        <v>399</v>
      </c>
      <c r="C104" t="s">
        <v>374</v>
      </c>
      <c r="D104" t="s">
        <v>375</v>
      </c>
      <c r="E104" t="s">
        <v>388</v>
      </c>
      <c r="F104">
        <v>43</v>
      </c>
      <c r="G104">
        <v>27</v>
      </c>
      <c r="H104">
        <v>30</v>
      </c>
      <c r="I104" s="5" t="str">
        <f>IF(F104+H104&lt;G104+H104,"AWAY","HOME")</f>
        <v>HOME</v>
      </c>
      <c r="J104" s="4">
        <f>+IF((F104&gt;G104),(F104+H104)/100,(G104+H104)/100)</f>
        <v>0.73</v>
      </c>
    </row>
    <row r="105" spans="1:10" x14ac:dyDescent="0.3">
      <c r="A105" t="s">
        <v>5</v>
      </c>
      <c r="B105" t="s">
        <v>6</v>
      </c>
      <c r="C105" t="s">
        <v>7</v>
      </c>
      <c r="D105" t="s">
        <v>8</v>
      </c>
      <c r="E105" t="s">
        <v>9</v>
      </c>
      <c r="F105">
        <v>45</v>
      </c>
      <c r="G105">
        <v>30</v>
      </c>
      <c r="H105">
        <v>25</v>
      </c>
      <c r="I105" s="5" t="str">
        <f>IF(F105+H105&lt;G105+H105,"AWAY","HOME")</f>
        <v>HOME</v>
      </c>
      <c r="J105" s="4">
        <f>+IF((F105&gt;G105),(F105+H105)/100,(G105+H105)/100)</f>
        <v>0.7</v>
      </c>
    </row>
    <row r="106" spans="1:10" x14ac:dyDescent="0.3">
      <c r="A106" t="s">
        <v>17</v>
      </c>
      <c r="B106" t="s">
        <v>18</v>
      </c>
      <c r="C106" t="s">
        <v>19</v>
      </c>
      <c r="D106" t="s">
        <v>20</v>
      </c>
      <c r="E106" t="s">
        <v>21</v>
      </c>
      <c r="F106">
        <v>30</v>
      </c>
      <c r="G106">
        <v>35</v>
      </c>
      <c r="H106">
        <v>35</v>
      </c>
      <c r="I106" s="5" t="str">
        <f>IF(F106+H106&lt;G106+H106,"AWAY","HOME")</f>
        <v>AWAY</v>
      </c>
      <c r="J106" s="4">
        <f>+IF((F106&gt;G106),(F106+H106)/100,(G106+H106)/100)</f>
        <v>0.7</v>
      </c>
    </row>
    <row r="107" spans="1:10" x14ac:dyDescent="0.3">
      <c r="A107" t="s">
        <v>59</v>
      </c>
      <c r="B107" t="s">
        <v>60</v>
      </c>
      <c r="C107" t="s">
        <v>61</v>
      </c>
      <c r="D107" t="s">
        <v>62</v>
      </c>
      <c r="E107" t="s">
        <v>63</v>
      </c>
      <c r="F107">
        <v>30</v>
      </c>
      <c r="G107">
        <v>40</v>
      </c>
      <c r="H107">
        <v>30</v>
      </c>
      <c r="I107" s="6" t="str">
        <f>IF(F107+H107&lt;G107+H107,"AWAY","HOME")</f>
        <v>AWAY</v>
      </c>
      <c r="J107" s="4">
        <f>+IF((F107&gt;G107),(F107+H107)/100,(G107+H107)/100)</f>
        <v>0.7</v>
      </c>
    </row>
    <row r="108" spans="1:10" x14ac:dyDescent="0.3">
      <c r="A108" t="s">
        <v>71</v>
      </c>
      <c r="B108" t="s">
        <v>72</v>
      </c>
      <c r="C108" t="s">
        <v>69</v>
      </c>
      <c r="D108" t="s">
        <v>70</v>
      </c>
      <c r="E108" t="s">
        <v>63</v>
      </c>
      <c r="F108">
        <v>30</v>
      </c>
      <c r="G108">
        <v>40</v>
      </c>
      <c r="H108">
        <v>30</v>
      </c>
      <c r="I108" s="5" t="str">
        <f>IF(F108+H108&lt;G108+H108,"AWAY","HOME")</f>
        <v>AWAY</v>
      </c>
      <c r="J108" s="4">
        <f>+IF((F108&gt;G108),(F108+H108)/100,(G108+H108)/100)</f>
        <v>0.7</v>
      </c>
    </row>
    <row r="109" spans="1:10" x14ac:dyDescent="0.3">
      <c r="A109" t="s">
        <v>86</v>
      </c>
      <c r="B109" t="s">
        <v>87</v>
      </c>
      <c r="C109" t="s">
        <v>24</v>
      </c>
      <c r="D109" t="s">
        <v>25</v>
      </c>
      <c r="E109" t="s">
        <v>85</v>
      </c>
      <c r="F109">
        <v>30</v>
      </c>
      <c r="G109">
        <v>40</v>
      </c>
      <c r="H109">
        <v>30</v>
      </c>
      <c r="I109" s="5" t="str">
        <f>IF(F109+H109&lt;G109+H109,"AWAY","HOME")</f>
        <v>AWAY</v>
      </c>
      <c r="J109" s="4">
        <f>+IF((F109&gt;G109),(F109+H109)/100,(G109+H109)/100)</f>
        <v>0.7</v>
      </c>
    </row>
    <row r="110" spans="1:10" x14ac:dyDescent="0.3">
      <c r="A110" t="s">
        <v>102</v>
      </c>
      <c r="B110" t="s">
        <v>103</v>
      </c>
      <c r="C110" t="s">
        <v>104</v>
      </c>
      <c r="D110" t="s">
        <v>105</v>
      </c>
      <c r="E110" t="s">
        <v>97</v>
      </c>
      <c r="F110">
        <v>40</v>
      </c>
      <c r="G110">
        <v>30</v>
      </c>
      <c r="H110">
        <v>30</v>
      </c>
      <c r="I110" s="5" t="str">
        <f>IF(F110+H110&lt;G110+H110,"AWAY","HOME")</f>
        <v>HOME</v>
      </c>
      <c r="J110" s="4">
        <f>+IF((F110&gt;G110),(F110+H110)/100,(G110+H110)/100)</f>
        <v>0.7</v>
      </c>
    </row>
    <row r="111" spans="1:10" x14ac:dyDescent="0.3">
      <c r="A111" t="s">
        <v>119</v>
      </c>
      <c r="B111" t="s">
        <v>120</v>
      </c>
      <c r="C111" t="s">
        <v>121</v>
      </c>
      <c r="D111" t="s">
        <v>122</v>
      </c>
      <c r="E111" t="s">
        <v>97</v>
      </c>
      <c r="F111">
        <v>40</v>
      </c>
      <c r="G111">
        <v>30</v>
      </c>
      <c r="H111">
        <v>30</v>
      </c>
      <c r="I111" s="5" t="str">
        <f>IF(F111+H111&lt;G111+H111,"AWAY","HOME")</f>
        <v>HOME</v>
      </c>
      <c r="J111" s="4">
        <f>+IF((F111&gt;G111),(F111+H111)/100,(G111+H111)/100)</f>
        <v>0.7</v>
      </c>
    </row>
    <row r="112" spans="1:10" x14ac:dyDescent="0.3">
      <c r="A112" t="s">
        <v>137</v>
      </c>
      <c r="B112" t="s">
        <v>138</v>
      </c>
      <c r="C112" t="s">
        <v>139</v>
      </c>
      <c r="D112" t="s">
        <v>140</v>
      </c>
      <c r="E112" t="s">
        <v>127</v>
      </c>
      <c r="F112">
        <v>40</v>
      </c>
      <c r="G112">
        <v>30</v>
      </c>
      <c r="H112">
        <v>30</v>
      </c>
      <c r="I112" s="5" t="str">
        <f>IF(F112+H112&lt;G112+H112,"AWAY","HOME")</f>
        <v>HOME</v>
      </c>
      <c r="J112" s="4">
        <f>+IF((F112&gt;G112),(F112+H112)/100,(G112+H112)/100)</f>
        <v>0.7</v>
      </c>
    </row>
    <row r="113" spans="1:10" x14ac:dyDescent="0.3">
      <c r="A113" t="s">
        <v>164</v>
      </c>
      <c r="B113" t="s">
        <v>165</v>
      </c>
      <c r="C113" t="s">
        <v>66</v>
      </c>
      <c r="D113" t="s">
        <v>62</v>
      </c>
      <c r="E113" t="s">
        <v>163</v>
      </c>
      <c r="F113">
        <v>40</v>
      </c>
      <c r="G113">
        <v>30</v>
      </c>
      <c r="H113">
        <v>30</v>
      </c>
      <c r="I113" s="5" t="str">
        <f>IF(F113+H113&lt;G113+H113,"AWAY","HOME")</f>
        <v>HOME</v>
      </c>
      <c r="J113" s="4">
        <f>+IF((F113&gt;G113),(F113+H113)/100,(G113+H113)/100)</f>
        <v>0.7</v>
      </c>
    </row>
    <row r="114" spans="1:10" x14ac:dyDescent="0.3">
      <c r="A114" t="s">
        <v>171</v>
      </c>
      <c r="B114" t="s">
        <v>172</v>
      </c>
      <c r="C114" t="s">
        <v>69</v>
      </c>
      <c r="D114" t="s">
        <v>70</v>
      </c>
      <c r="E114" t="s">
        <v>170</v>
      </c>
      <c r="F114">
        <v>35</v>
      </c>
      <c r="G114">
        <v>30</v>
      </c>
      <c r="H114">
        <v>35</v>
      </c>
      <c r="I114" s="5" t="str">
        <f>IF(F114+H114&lt;G114+H114,"AWAY","HOME")</f>
        <v>HOME</v>
      </c>
      <c r="J114" s="4">
        <f>+IF((F114&gt;G114),(F114+H114)/100,(G114+H114)/100)</f>
        <v>0.7</v>
      </c>
    </row>
    <row r="115" spans="1:10" x14ac:dyDescent="0.3">
      <c r="A115" t="s">
        <v>188</v>
      </c>
      <c r="B115" t="s">
        <v>189</v>
      </c>
      <c r="C115" t="s">
        <v>19</v>
      </c>
      <c r="D115" t="s">
        <v>183</v>
      </c>
      <c r="E115" t="s">
        <v>180</v>
      </c>
      <c r="F115">
        <v>40</v>
      </c>
      <c r="G115">
        <v>30</v>
      </c>
      <c r="H115">
        <v>30</v>
      </c>
      <c r="I115" s="5" t="str">
        <f>IF(F115+H115&lt;G115+H115,"AWAY","HOME")</f>
        <v>HOME</v>
      </c>
      <c r="J115" s="4">
        <f>+IF((F115&gt;G115),(F115+H115)/100,(G115+H115)/100)</f>
        <v>0.7</v>
      </c>
    </row>
    <row r="116" spans="1:10" x14ac:dyDescent="0.3">
      <c r="A116" t="s">
        <v>192</v>
      </c>
      <c r="B116" t="s">
        <v>193</v>
      </c>
      <c r="C116" t="s">
        <v>19</v>
      </c>
      <c r="D116" t="s">
        <v>183</v>
      </c>
      <c r="E116" t="s">
        <v>180</v>
      </c>
      <c r="F116">
        <v>30</v>
      </c>
      <c r="G116">
        <v>35</v>
      </c>
      <c r="H116">
        <v>35</v>
      </c>
      <c r="I116" s="5" t="str">
        <f>IF(F116+H116&lt;G116+H116,"AWAY","HOME")</f>
        <v>AWAY</v>
      </c>
      <c r="J116" s="4">
        <f>+IF((F116&gt;G116),(F116+H116)/100,(G116+H116)/100)</f>
        <v>0.7</v>
      </c>
    </row>
    <row r="117" spans="1:10" x14ac:dyDescent="0.3">
      <c r="A117" t="s">
        <v>196</v>
      </c>
      <c r="B117" t="s">
        <v>197</v>
      </c>
      <c r="C117" t="s">
        <v>157</v>
      </c>
      <c r="D117" t="s">
        <v>158</v>
      </c>
      <c r="E117" t="s">
        <v>180</v>
      </c>
      <c r="F117">
        <v>30</v>
      </c>
      <c r="G117">
        <v>35</v>
      </c>
      <c r="H117">
        <v>35</v>
      </c>
      <c r="I117" s="6" t="str">
        <f>IF(F117+H117&lt;G117+H117,"AWAY","HOME")</f>
        <v>AWAY</v>
      </c>
      <c r="J117" s="4">
        <f>+IF((F117&gt;G117),(F117+H117)/100,(G117+H117)/100)</f>
        <v>0.7</v>
      </c>
    </row>
    <row r="118" spans="1:10" x14ac:dyDescent="0.3">
      <c r="A118" t="s">
        <v>198</v>
      </c>
      <c r="B118" t="s">
        <v>199</v>
      </c>
      <c r="C118" t="s">
        <v>157</v>
      </c>
      <c r="D118" t="s">
        <v>158</v>
      </c>
      <c r="E118" t="s">
        <v>180</v>
      </c>
      <c r="F118">
        <v>40</v>
      </c>
      <c r="G118">
        <v>30</v>
      </c>
      <c r="H118">
        <v>30</v>
      </c>
      <c r="I118" s="5" t="str">
        <f>IF(F118+H118&lt;G118+H118,"AWAY","HOME")</f>
        <v>HOME</v>
      </c>
      <c r="J118" s="4">
        <f>+IF((F118&gt;G118),(F118+H118)/100,(G118+H118)/100)</f>
        <v>0.7</v>
      </c>
    </row>
    <row r="119" spans="1:10" x14ac:dyDescent="0.3">
      <c r="A119" t="s">
        <v>212</v>
      </c>
      <c r="B119" t="s">
        <v>213</v>
      </c>
      <c r="C119" t="s">
        <v>104</v>
      </c>
      <c r="D119" t="s">
        <v>105</v>
      </c>
      <c r="E119" t="s">
        <v>214</v>
      </c>
      <c r="F119">
        <v>30</v>
      </c>
      <c r="G119">
        <v>40</v>
      </c>
      <c r="H119">
        <v>30</v>
      </c>
      <c r="I119" s="5" t="str">
        <f>IF(F119+H119&lt;G119+H119,"AWAY","HOME")</f>
        <v>AWAY</v>
      </c>
      <c r="J119" s="4">
        <f>+IF((F119&gt;G119),(F119+H119)/100,(G119+H119)/100)</f>
        <v>0.7</v>
      </c>
    </row>
    <row r="120" spans="1:10" x14ac:dyDescent="0.3">
      <c r="A120" t="s">
        <v>217</v>
      </c>
      <c r="B120" t="s">
        <v>218</v>
      </c>
      <c r="C120" t="s">
        <v>116</v>
      </c>
      <c r="D120" t="s">
        <v>30</v>
      </c>
      <c r="E120" t="s">
        <v>214</v>
      </c>
      <c r="F120">
        <v>40</v>
      </c>
      <c r="G120">
        <v>30</v>
      </c>
      <c r="H120">
        <v>30</v>
      </c>
      <c r="I120" s="5" t="str">
        <f>IF(F120+H120&lt;G120+H120,"AWAY","HOME")</f>
        <v>HOME</v>
      </c>
      <c r="J120" s="4">
        <f>+IF((F120&gt;G120),(F120+H120)/100,(G120+H120)/100)</f>
        <v>0.7</v>
      </c>
    </row>
    <row r="121" spans="1:10" x14ac:dyDescent="0.3">
      <c r="A121" t="s">
        <v>252</v>
      </c>
      <c r="B121" t="s">
        <v>253</v>
      </c>
      <c r="C121" t="s">
        <v>34</v>
      </c>
      <c r="D121" t="s">
        <v>35</v>
      </c>
      <c r="E121" t="s">
        <v>249</v>
      </c>
      <c r="F121">
        <v>40</v>
      </c>
      <c r="G121">
        <v>30</v>
      </c>
      <c r="H121">
        <v>30</v>
      </c>
      <c r="I121" s="6" t="str">
        <f>IF(F121+H121&lt;G121+H121,"AWAY","HOME")</f>
        <v>HOME</v>
      </c>
      <c r="J121" s="4">
        <f>+IF((F121&gt;G121),(F121+H121)/100,(G121+H121)/100)</f>
        <v>0.7</v>
      </c>
    </row>
    <row r="122" spans="1:10" x14ac:dyDescent="0.3">
      <c r="A122" t="s">
        <v>254</v>
      </c>
      <c r="B122" t="s">
        <v>255</v>
      </c>
      <c r="C122" t="s">
        <v>19</v>
      </c>
      <c r="D122" t="s">
        <v>45</v>
      </c>
      <c r="E122" t="s">
        <v>249</v>
      </c>
      <c r="F122">
        <v>35</v>
      </c>
      <c r="G122">
        <v>30</v>
      </c>
      <c r="H122">
        <v>35</v>
      </c>
      <c r="I122" s="6" t="str">
        <f>IF(F122+H122&lt;G122+H122,"AWAY","HOME")</f>
        <v>HOME</v>
      </c>
      <c r="J122" s="4">
        <f>+IF((F122&gt;G122),(F122+H122)/100,(G122+H122)/100)</f>
        <v>0.7</v>
      </c>
    </row>
    <row r="123" spans="1:10" x14ac:dyDescent="0.3">
      <c r="A123" t="s">
        <v>256</v>
      </c>
      <c r="B123" t="s">
        <v>257</v>
      </c>
      <c r="C123" t="s">
        <v>66</v>
      </c>
      <c r="D123" t="s">
        <v>62</v>
      </c>
      <c r="E123" t="s">
        <v>249</v>
      </c>
      <c r="F123">
        <v>30</v>
      </c>
      <c r="G123">
        <v>35</v>
      </c>
      <c r="H123">
        <v>35</v>
      </c>
      <c r="I123" s="5" t="str">
        <f>IF(F123+H123&lt;G123+H123,"AWAY","HOME")</f>
        <v>AWAY</v>
      </c>
      <c r="J123" s="4">
        <f>+IF((F123&gt;G123),(F123+H123)/100,(G123+H123)/100)</f>
        <v>0.7</v>
      </c>
    </row>
    <row r="124" spans="1:10" x14ac:dyDescent="0.3">
      <c r="A124" t="s">
        <v>276</v>
      </c>
      <c r="B124" t="s">
        <v>277</v>
      </c>
      <c r="C124" t="s">
        <v>146</v>
      </c>
      <c r="D124" t="s">
        <v>147</v>
      </c>
      <c r="E124" t="s">
        <v>273</v>
      </c>
      <c r="F124">
        <v>40</v>
      </c>
      <c r="G124">
        <v>30</v>
      </c>
      <c r="H124">
        <v>30</v>
      </c>
      <c r="I124" s="5" t="str">
        <f>IF(F124+H124&lt;G124+H124,"AWAY","HOME")</f>
        <v>HOME</v>
      </c>
      <c r="J124" s="4">
        <f>+IF((F124&gt;G124),(F124+H124)/100,(G124+H124)/100)</f>
        <v>0.7</v>
      </c>
    </row>
    <row r="125" spans="1:10" x14ac:dyDescent="0.3">
      <c r="A125" t="s">
        <v>280</v>
      </c>
      <c r="B125" t="s">
        <v>281</v>
      </c>
      <c r="C125" t="s">
        <v>210</v>
      </c>
      <c r="D125" t="s">
        <v>211</v>
      </c>
      <c r="E125" t="s">
        <v>273</v>
      </c>
      <c r="F125">
        <v>30</v>
      </c>
      <c r="G125">
        <v>35</v>
      </c>
      <c r="H125">
        <v>35</v>
      </c>
      <c r="I125" s="5" t="str">
        <f>IF(F125+H125&lt;G125+H125,"AWAY","HOME")</f>
        <v>AWAY</v>
      </c>
      <c r="J125" s="4">
        <f>+IF((F125&gt;G125),(F125+H125)/100,(G125+H125)/100)</f>
        <v>0.7</v>
      </c>
    </row>
    <row r="126" spans="1:10" x14ac:dyDescent="0.3">
      <c r="A126" t="s">
        <v>282</v>
      </c>
      <c r="B126" t="s">
        <v>283</v>
      </c>
      <c r="C126" t="s">
        <v>57</v>
      </c>
      <c r="D126" t="s">
        <v>58</v>
      </c>
      <c r="E126" t="s">
        <v>284</v>
      </c>
      <c r="F126">
        <v>40</v>
      </c>
      <c r="G126">
        <v>30</v>
      </c>
      <c r="H126">
        <v>30</v>
      </c>
      <c r="I126" s="10" t="str">
        <f>IF(F126+H126&lt;G126+H126,"AWAY","HOME")</f>
        <v>HOME</v>
      </c>
      <c r="J126" s="4">
        <f>+IF((F126&gt;G126),(F126+H126)/100,(G126+H126)/100)</f>
        <v>0.7</v>
      </c>
    </row>
    <row r="127" spans="1:10" x14ac:dyDescent="0.3">
      <c r="A127" t="s">
        <v>296</v>
      </c>
      <c r="B127" t="s">
        <v>297</v>
      </c>
      <c r="C127" t="s">
        <v>108</v>
      </c>
      <c r="D127" t="s">
        <v>109</v>
      </c>
      <c r="E127" t="s">
        <v>298</v>
      </c>
      <c r="F127">
        <v>30</v>
      </c>
      <c r="G127">
        <v>45</v>
      </c>
      <c r="H127">
        <v>25</v>
      </c>
      <c r="I127" s="5" t="str">
        <f>IF(F127+H127&lt;G127+H127,"AWAY","HOME")</f>
        <v>AWAY</v>
      </c>
      <c r="J127" s="4">
        <f>+IF((F127&gt;G127),(F127+H127)/100,(G127+H127)/100)</f>
        <v>0.7</v>
      </c>
    </row>
    <row r="128" spans="1:10" x14ac:dyDescent="0.3">
      <c r="A128" t="s">
        <v>312</v>
      </c>
      <c r="B128" t="s">
        <v>313</v>
      </c>
      <c r="C128" t="s">
        <v>104</v>
      </c>
      <c r="D128" t="s">
        <v>105</v>
      </c>
      <c r="E128" t="s">
        <v>314</v>
      </c>
      <c r="F128">
        <v>30</v>
      </c>
      <c r="G128">
        <v>35</v>
      </c>
      <c r="H128">
        <v>35</v>
      </c>
      <c r="I128" s="5" t="str">
        <f>IF(F128+H128&lt;G128+H128,"AWAY","HOME")</f>
        <v>AWAY</v>
      </c>
      <c r="J128" s="4">
        <f>+IF((F128&gt;G128),(F128+H128)/100,(G128+H128)/100)</f>
        <v>0.7</v>
      </c>
    </row>
    <row r="129" spans="1:10" x14ac:dyDescent="0.3">
      <c r="A129" t="s">
        <v>317</v>
      </c>
      <c r="B129" t="s">
        <v>327</v>
      </c>
      <c r="C129" t="s">
        <v>116</v>
      </c>
      <c r="D129" t="s">
        <v>324</v>
      </c>
      <c r="E129" t="s">
        <v>319</v>
      </c>
      <c r="F129">
        <v>30</v>
      </c>
      <c r="G129">
        <v>35</v>
      </c>
      <c r="H129">
        <v>35</v>
      </c>
      <c r="I129" s="5" t="str">
        <f>IF(F129+H129&lt;G129+H129,"AWAY","HOME")</f>
        <v>AWAY</v>
      </c>
      <c r="J129" s="4">
        <f>+IF((F129&gt;G129),(F129+H129)/100,(G129+H129)/100)</f>
        <v>0.7</v>
      </c>
    </row>
    <row r="130" spans="1:10" x14ac:dyDescent="0.3">
      <c r="A130" t="s">
        <v>328</v>
      </c>
      <c r="B130" t="s">
        <v>329</v>
      </c>
      <c r="C130" t="s">
        <v>239</v>
      </c>
      <c r="D130" t="s">
        <v>330</v>
      </c>
      <c r="E130" t="s">
        <v>319</v>
      </c>
      <c r="F130">
        <v>30</v>
      </c>
      <c r="G130">
        <v>40</v>
      </c>
      <c r="H130">
        <v>30</v>
      </c>
      <c r="I130" s="5" t="str">
        <f>IF(F130+H130&lt;G130+H130,"AWAY","HOME")</f>
        <v>AWAY</v>
      </c>
      <c r="J130" s="4">
        <f>+IF((F130&gt;G130),(F130+H130)/100,(G130+H130)/100)</f>
        <v>0.7</v>
      </c>
    </row>
    <row r="131" spans="1:10" x14ac:dyDescent="0.3">
      <c r="A131" t="s">
        <v>334</v>
      </c>
      <c r="B131" t="s">
        <v>335</v>
      </c>
      <c r="C131" t="s">
        <v>146</v>
      </c>
      <c r="D131" t="s">
        <v>147</v>
      </c>
      <c r="E131" t="s">
        <v>333</v>
      </c>
      <c r="F131">
        <v>35</v>
      </c>
      <c r="G131">
        <v>30</v>
      </c>
      <c r="H131">
        <v>35</v>
      </c>
      <c r="I131" s="10" t="str">
        <f>IF(F131+H131&lt;G131+H131,"AWAY","HOME")</f>
        <v>HOME</v>
      </c>
      <c r="J131" s="4">
        <f>+IF((F131&gt;G131),(F131+H131)/100,(G131+H131)/100)</f>
        <v>0.7</v>
      </c>
    </row>
    <row r="132" spans="1:10" x14ac:dyDescent="0.3">
      <c r="A132" t="s">
        <v>339</v>
      </c>
      <c r="B132" t="s">
        <v>340</v>
      </c>
      <c r="C132" t="s">
        <v>301</v>
      </c>
      <c r="D132" t="s">
        <v>302</v>
      </c>
      <c r="E132" t="s">
        <v>341</v>
      </c>
      <c r="F132">
        <v>30</v>
      </c>
      <c r="G132">
        <v>45</v>
      </c>
      <c r="H132">
        <v>25</v>
      </c>
      <c r="I132" s="5" t="str">
        <f>IF(F132+H132&lt;G132+H132,"AWAY","HOME")</f>
        <v>AWAY</v>
      </c>
      <c r="J132" s="4">
        <f>+IF((F132&gt;G132),(F132+H132)/100,(G132+H132)/100)</f>
        <v>0.7</v>
      </c>
    </row>
    <row r="133" spans="1:10" x14ac:dyDescent="0.3">
      <c r="A133" t="s">
        <v>372</v>
      </c>
      <c r="B133" t="s">
        <v>373</v>
      </c>
      <c r="C133" t="s">
        <v>374</v>
      </c>
      <c r="D133" t="s">
        <v>375</v>
      </c>
      <c r="E133" t="s">
        <v>354</v>
      </c>
      <c r="F133">
        <v>40</v>
      </c>
      <c r="G133">
        <v>30</v>
      </c>
      <c r="H133">
        <v>30</v>
      </c>
      <c r="I133" s="5" t="str">
        <f>IF(F133+H133&lt;G133+H133,"AWAY","HOME")</f>
        <v>HOME</v>
      </c>
      <c r="J133" s="4">
        <f>+IF((F133&gt;G133),(F133+H133)/100,(G133+H133)/100)</f>
        <v>0.7</v>
      </c>
    </row>
    <row r="134" spans="1:10" x14ac:dyDescent="0.3">
      <c r="A134" t="s">
        <v>376</v>
      </c>
      <c r="B134" t="s">
        <v>377</v>
      </c>
      <c r="C134" t="s">
        <v>239</v>
      </c>
      <c r="D134" t="s">
        <v>367</v>
      </c>
      <c r="E134" t="s">
        <v>378</v>
      </c>
      <c r="F134">
        <v>30</v>
      </c>
      <c r="G134">
        <v>45</v>
      </c>
      <c r="H134">
        <v>25</v>
      </c>
      <c r="I134" s="6" t="str">
        <f>IF(F134+H134&lt;G134+H134,"AWAY","HOME")</f>
        <v>AWAY</v>
      </c>
      <c r="J134" s="4">
        <f>+IF((F134&gt;G134),(F134+H134)/100,(G134+H134)/100)</f>
        <v>0.7</v>
      </c>
    </row>
    <row r="135" spans="1:10" x14ac:dyDescent="0.3">
      <c r="A135" t="s">
        <v>379</v>
      </c>
      <c r="B135" t="s">
        <v>380</v>
      </c>
      <c r="C135" t="s">
        <v>116</v>
      </c>
      <c r="D135" t="s">
        <v>324</v>
      </c>
      <c r="E135" t="s">
        <v>378</v>
      </c>
      <c r="F135">
        <v>32</v>
      </c>
      <c r="G135">
        <v>30</v>
      </c>
      <c r="H135">
        <v>38</v>
      </c>
      <c r="I135" s="5" t="str">
        <f>IF(F135+H135&lt;G135+H135,"AWAY","HOME")</f>
        <v>HOME</v>
      </c>
      <c r="J135" s="4">
        <f>+IF((F135&gt;G135),(F135+H135)/100,(G135+H135)/100)</f>
        <v>0.7</v>
      </c>
    </row>
    <row r="136" spans="1:10" x14ac:dyDescent="0.3">
      <c r="A136" t="s">
        <v>389</v>
      </c>
      <c r="B136" t="s">
        <v>390</v>
      </c>
      <c r="C136" t="s">
        <v>301</v>
      </c>
      <c r="D136" t="s">
        <v>302</v>
      </c>
      <c r="E136" t="s">
        <v>388</v>
      </c>
      <c r="F136">
        <v>30</v>
      </c>
      <c r="G136">
        <v>40</v>
      </c>
      <c r="H136">
        <v>30</v>
      </c>
      <c r="I136" s="5" t="str">
        <f>IF(F136+H136&lt;G136+H136,"AWAY","HOME")</f>
        <v>AWAY</v>
      </c>
      <c r="J136" s="4">
        <f>+IF((F136&gt;G136),(F136+H136)/100,(G136+H136)/100)</f>
        <v>0.7</v>
      </c>
    </row>
    <row r="137" spans="1:10" x14ac:dyDescent="0.3">
      <c r="A137" t="s">
        <v>414</v>
      </c>
      <c r="B137" t="s">
        <v>415</v>
      </c>
      <c r="C137" t="s">
        <v>239</v>
      </c>
      <c r="D137" t="s">
        <v>367</v>
      </c>
      <c r="E137" t="s">
        <v>416</v>
      </c>
      <c r="F137">
        <v>30</v>
      </c>
      <c r="G137">
        <v>35</v>
      </c>
      <c r="H137">
        <v>35</v>
      </c>
      <c r="I137" s="6" t="str">
        <f>IF(F137+H137&lt;G137+H137,"AWAY","HOME")</f>
        <v>AWAY</v>
      </c>
      <c r="J137" s="4">
        <f>+IF((F137&gt;G137),(F137+H137)/100,(G137+H137)/100)</f>
        <v>0.7</v>
      </c>
    </row>
    <row r="138" spans="1:10" x14ac:dyDescent="0.3">
      <c r="A138" t="s">
        <v>55</v>
      </c>
      <c r="B138" t="s">
        <v>56</v>
      </c>
      <c r="C138" t="s">
        <v>57</v>
      </c>
      <c r="D138" t="s">
        <v>58</v>
      </c>
      <c r="E138" t="s">
        <v>46</v>
      </c>
      <c r="F138">
        <v>40</v>
      </c>
      <c r="G138">
        <v>32</v>
      </c>
      <c r="H138">
        <v>28</v>
      </c>
      <c r="I138" s="6" t="str">
        <f>IF(F138+H138&lt;G138+H138,"AWAY","HOME")</f>
        <v>HOME</v>
      </c>
      <c r="J138" s="4">
        <f>+IF((F138&gt;G138),(F138+H138)/100,(G138+H138)/100)</f>
        <v>0.68</v>
      </c>
    </row>
    <row r="139" spans="1:10" x14ac:dyDescent="0.3">
      <c r="A139" t="s">
        <v>325</v>
      </c>
      <c r="B139" t="s">
        <v>326</v>
      </c>
      <c r="C139" t="s">
        <v>116</v>
      </c>
      <c r="D139" t="s">
        <v>324</v>
      </c>
      <c r="E139" t="s">
        <v>319</v>
      </c>
      <c r="F139">
        <v>43</v>
      </c>
      <c r="G139">
        <v>32</v>
      </c>
      <c r="H139">
        <v>25</v>
      </c>
      <c r="I139" s="5" t="str">
        <f>IF(F139+H139&lt;G139+H139,"AWAY","HOME")</f>
        <v>HOME</v>
      </c>
      <c r="J139" s="4">
        <f>+IF((F139&gt;G139),(F139+H139)/100,(G139+H139)/100)</f>
        <v>0.68</v>
      </c>
    </row>
    <row r="140" spans="1:10" x14ac:dyDescent="0.3">
      <c r="A140" t="s">
        <v>412</v>
      </c>
      <c r="B140" t="s">
        <v>413</v>
      </c>
      <c r="C140" t="s">
        <v>239</v>
      </c>
      <c r="D140" t="s">
        <v>330</v>
      </c>
      <c r="E140" t="s">
        <v>411</v>
      </c>
      <c r="F140">
        <v>32</v>
      </c>
      <c r="G140">
        <v>38</v>
      </c>
      <c r="H140">
        <v>30</v>
      </c>
      <c r="I140" s="10" t="str">
        <f>IF(F140+H140&lt;G140+H140,"AWAY","HOME")</f>
        <v>AWAY</v>
      </c>
      <c r="J140" s="4">
        <f>+IF((F140&gt;G140),(F140+H140)/100,(G140+H140)/100)</f>
        <v>0.68</v>
      </c>
    </row>
    <row r="141" spans="1:10" x14ac:dyDescent="0.3">
      <c r="A141" t="s">
        <v>67</v>
      </c>
      <c r="B141" t="s">
        <v>68</v>
      </c>
      <c r="C141" t="s">
        <v>69</v>
      </c>
      <c r="D141" t="s">
        <v>70</v>
      </c>
      <c r="E141" t="s">
        <v>63</v>
      </c>
      <c r="F141">
        <v>38</v>
      </c>
      <c r="G141">
        <v>34</v>
      </c>
      <c r="H141">
        <v>28</v>
      </c>
      <c r="I141" s="5" t="str">
        <f>IF(F141+H141&lt;G141+H141,"AWAY","HOME")</f>
        <v>HOME</v>
      </c>
      <c r="J141" s="4">
        <f>+IF((F141&gt;G141),(F141+H141)/100,(G141+H141)/100)</f>
        <v>0.66</v>
      </c>
    </row>
    <row r="142" spans="1:10" x14ac:dyDescent="0.3">
      <c r="A142" t="s">
        <v>43</v>
      </c>
      <c r="B142" t="s">
        <v>44</v>
      </c>
      <c r="C142" t="s">
        <v>19</v>
      </c>
      <c r="D142" t="s">
        <v>45</v>
      </c>
      <c r="E142" t="s">
        <v>46</v>
      </c>
      <c r="F142">
        <v>35</v>
      </c>
      <c r="G142">
        <v>35</v>
      </c>
      <c r="H142">
        <v>30</v>
      </c>
      <c r="I142" s="5" t="str">
        <f>IF(F142+H142&lt;G142+H142,"AWAY","HOME")</f>
        <v>HOME</v>
      </c>
      <c r="J142" s="4">
        <f>+IF((F142&gt;G142),(F142+H142)/100,(G142+H142)/100)</f>
        <v>0.65</v>
      </c>
    </row>
    <row r="143" spans="1:10" x14ac:dyDescent="0.3">
      <c r="A143" t="s">
        <v>47</v>
      </c>
      <c r="B143" t="s">
        <v>48</v>
      </c>
      <c r="C143" t="s">
        <v>49</v>
      </c>
      <c r="D143" t="s">
        <v>50</v>
      </c>
      <c r="E143" t="s">
        <v>46</v>
      </c>
      <c r="F143">
        <v>36</v>
      </c>
      <c r="G143">
        <v>35</v>
      </c>
      <c r="H143">
        <v>29</v>
      </c>
      <c r="I143" s="6" t="str">
        <f>IF(F143+H143&lt;G143+H143,"AWAY","HOME")</f>
        <v>HOME</v>
      </c>
      <c r="J143" s="4">
        <f>+IF((F143&gt;G143),(F143+H143)/100,(G143+H143)/100)</f>
        <v>0.65</v>
      </c>
    </row>
    <row r="144" spans="1:10" x14ac:dyDescent="0.3">
      <c r="A144" t="s">
        <v>77</v>
      </c>
      <c r="B144" t="s">
        <v>78</v>
      </c>
      <c r="C144" t="s">
        <v>75</v>
      </c>
      <c r="D144" t="s">
        <v>76</v>
      </c>
      <c r="E144" t="s">
        <v>63</v>
      </c>
      <c r="F144">
        <v>35</v>
      </c>
      <c r="G144">
        <v>35</v>
      </c>
      <c r="H144">
        <v>30</v>
      </c>
      <c r="I144" s="5" t="str">
        <f>IF(F144+H144&lt;G144+H144,"AWAY","HOME")</f>
        <v>HOME</v>
      </c>
      <c r="J144" s="4">
        <f>+IF((F144&gt;G144),(F144+H144)/100,(G144+H144)/100)</f>
        <v>0.65</v>
      </c>
    </row>
    <row r="145" spans="1:10" x14ac:dyDescent="0.3">
      <c r="A145" t="s">
        <v>100</v>
      </c>
      <c r="B145" t="s">
        <v>101</v>
      </c>
      <c r="C145" t="s">
        <v>19</v>
      </c>
      <c r="D145" t="s">
        <v>96</v>
      </c>
      <c r="E145" t="s">
        <v>97</v>
      </c>
      <c r="F145">
        <v>35</v>
      </c>
      <c r="G145">
        <v>35</v>
      </c>
      <c r="H145">
        <v>30</v>
      </c>
      <c r="I145" s="5" t="str">
        <f>IF(F145+H145&lt;G145+H145,"AWAY","HOME")</f>
        <v>HOME</v>
      </c>
      <c r="J145" s="4">
        <f>+IF((F145&gt;G145),(F145+H145)/100,(G145+H145)/100)</f>
        <v>0.65</v>
      </c>
    </row>
    <row r="146" spans="1:10" x14ac:dyDescent="0.3">
      <c r="A146" t="s">
        <v>114</v>
      </c>
      <c r="B146" t="s">
        <v>115</v>
      </c>
      <c r="C146" t="s">
        <v>116</v>
      </c>
      <c r="D146" t="s">
        <v>30</v>
      </c>
      <c r="E146" t="s">
        <v>97</v>
      </c>
      <c r="F146">
        <v>35</v>
      </c>
      <c r="G146">
        <v>35</v>
      </c>
      <c r="H146">
        <v>30</v>
      </c>
      <c r="I146" s="5" t="str">
        <f>IF(F146+H146&lt;G146+H146,"AWAY","HOME")</f>
        <v>HOME</v>
      </c>
      <c r="J146" s="4">
        <f>+IF((F146&gt;G146),(F146+H146)/100,(G146+H146)/100)</f>
        <v>0.65</v>
      </c>
    </row>
    <row r="147" spans="1:10" x14ac:dyDescent="0.3">
      <c r="A147" t="s">
        <v>166</v>
      </c>
      <c r="B147" t="s">
        <v>167</v>
      </c>
      <c r="C147" t="s">
        <v>168</v>
      </c>
      <c r="D147" t="s">
        <v>169</v>
      </c>
      <c r="E147" t="s">
        <v>170</v>
      </c>
      <c r="F147">
        <v>35</v>
      </c>
      <c r="G147">
        <v>35</v>
      </c>
      <c r="H147">
        <v>30</v>
      </c>
      <c r="I147" s="6" t="str">
        <f>IF(F147+H147&lt;G147+H147,"AWAY","HOME")</f>
        <v>HOME</v>
      </c>
      <c r="J147" s="4">
        <f>+IF((F147&gt;G147),(F147+H147)/100,(G147+H147)/100)</f>
        <v>0.65</v>
      </c>
    </row>
    <row r="148" spans="1:10" x14ac:dyDescent="0.3">
      <c r="A148" t="s">
        <v>190</v>
      </c>
      <c r="B148" t="s">
        <v>191</v>
      </c>
      <c r="C148" t="s">
        <v>19</v>
      </c>
      <c r="D148" t="s">
        <v>183</v>
      </c>
      <c r="E148" t="s">
        <v>180</v>
      </c>
      <c r="F148">
        <v>35</v>
      </c>
      <c r="G148">
        <v>35</v>
      </c>
      <c r="H148">
        <v>30</v>
      </c>
      <c r="I148" s="5" t="str">
        <f>IF(F148+H148&lt;G148+H148,"AWAY","HOME")</f>
        <v>HOME</v>
      </c>
      <c r="J148" s="4">
        <f>+IF((F148&gt;G148),(F148+H148)/100,(G148+H148)/100)</f>
        <v>0.65</v>
      </c>
    </row>
    <row r="149" spans="1:10" x14ac:dyDescent="0.3">
      <c r="A149" t="s">
        <v>204</v>
      </c>
      <c r="B149" t="s">
        <v>205</v>
      </c>
      <c r="C149" t="s">
        <v>157</v>
      </c>
      <c r="D149" t="s">
        <v>158</v>
      </c>
      <c r="E149" t="s">
        <v>180</v>
      </c>
      <c r="F149">
        <v>35</v>
      </c>
      <c r="G149">
        <v>35</v>
      </c>
      <c r="H149">
        <v>30</v>
      </c>
      <c r="I149" s="5" t="str">
        <f>IF(F149+H149&lt;G149+H149,"AWAY","HOME")</f>
        <v>HOME</v>
      </c>
      <c r="J149" s="4">
        <f>+IF((F149&gt;G149),(F149+H149)/100,(G149+H149)/100)</f>
        <v>0.65</v>
      </c>
    </row>
    <row r="150" spans="1:10" x14ac:dyDescent="0.3">
      <c r="A150" t="s">
        <v>299</v>
      </c>
      <c r="B150" t="s">
        <v>300</v>
      </c>
      <c r="C150" t="s">
        <v>301</v>
      </c>
      <c r="D150" t="s">
        <v>302</v>
      </c>
      <c r="E150" t="s">
        <v>298</v>
      </c>
      <c r="F150">
        <v>35</v>
      </c>
      <c r="G150">
        <v>40</v>
      </c>
      <c r="H150">
        <v>25</v>
      </c>
      <c r="I150" s="5" t="str">
        <f>IF(F150+H150&lt;G150+H150,"AWAY","HOME")</f>
        <v>AWAY</v>
      </c>
      <c r="J150" s="4">
        <f>+IF((F150&gt;G150),(F150+H150)/100,(G150+H150)/100)</f>
        <v>0.65</v>
      </c>
    </row>
    <row r="151" spans="1:10" x14ac:dyDescent="0.3">
      <c r="A151" t="s">
        <v>303</v>
      </c>
      <c r="B151" t="s">
        <v>304</v>
      </c>
      <c r="C151" t="s">
        <v>239</v>
      </c>
      <c r="D151" t="s">
        <v>240</v>
      </c>
      <c r="E151" t="s">
        <v>298</v>
      </c>
      <c r="F151">
        <v>40</v>
      </c>
      <c r="G151">
        <v>35</v>
      </c>
      <c r="H151">
        <v>25</v>
      </c>
      <c r="I151" s="11" t="str">
        <f>IF(F151+H151&lt;G151+H151,"AWAY","HOME")</f>
        <v>HOME</v>
      </c>
      <c r="J151" s="4">
        <f>+IF((F151&gt;G151),(F151+H151)/100,(G151+H151)/100)</f>
        <v>0.65</v>
      </c>
    </row>
    <row r="152" spans="1:10" x14ac:dyDescent="0.3">
      <c r="A152" t="s">
        <v>348</v>
      </c>
      <c r="B152" t="s">
        <v>349</v>
      </c>
      <c r="C152" t="s">
        <v>29</v>
      </c>
      <c r="D152" t="s">
        <v>324</v>
      </c>
      <c r="E152" t="s">
        <v>341</v>
      </c>
      <c r="F152">
        <v>35</v>
      </c>
      <c r="G152">
        <v>40</v>
      </c>
      <c r="H152">
        <v>25</v>
      </c>
      <c r="I152" s="5" t="str">
        <f>IF(F152+H152&lt;G152+H152,"AWAY","HOME")</f>
        <v>AWAY</v>
      </c>
      <c r="J152" s="4">
        <f>+IF((F152&gt;G152),(F152+H152)/100,(G152+H152)/100)</f>
        <v>0.65</v>
      </c>
    </row>
    <row r="153" spans="1:10" x14ac:dyDescent="0.3">
      <c r="A153" t="s">
        <v>368</v>
      </c>
      <c r="B153" t="s">
        <v>369</v>
      </c>
      <c r="C153" t="s">
        <v>370</v>
      </c>
      <c r="D153" t="s">
        <v>371</v>
      </c>
      <c r="E153" t="s">
        <v>354</v>
      </c>
      <c r="F153">
        <v>45</v>
      </c>
      <c r="G153">
        <v>35</v>
      </c>
      <c r="H153">
        <v>20</v>
      </c>
      <c r="I153" s="6" t="str">
        <f>IF(F153+H153&lt;G153+H153,"AWAY","HOME")</f>
        <v>HOME</v>
      </c>
      <c r="J153" s="4">
        <f>+IF((F153&gt;G153),(F153+H153)/100,(G153+H153)/100)</f>
        <v>0.65</v>
      </c>
    </row>
  </sheetData>
  <autoFilter ref="A1:J153" xr:uid="{00000000-0001-0000-0000-000000000000}">
    <sortState xmlns:xlrd2="http://schemas.microsoft.com/office/spreadsheetml/2017/richdata2" ref="A2:J153">
      <sortCondition descending="1" ref="J1:J153"/>
    </sortState>
  </autoFilter>
  <conditionalFormatting sqref="J1:J1048576">
    <cfRule type="iconSet" priority="1">
      <iconSet>
        <cfvo type="percent" val="0"/>
        <cfvo type="num" val="0.76"/>
        <cfvo type="num" val="0.81"/>
      </iconSet>
    </cfRule>
    <cfRule type="iconSet" priority="2">
      <iconSet>
        <cfvo type="percent" val="0"/>
        <cfvo type="num" val="0.75"/>
        <cfvo type="num" val="0.81"/>
      </iconSet>
    </cfRule>
    <cfRule type="iconSet" priority="3">
      <iconSet>
        <cfvo type="percent" val="0"/>
        <cfvo type="num" val="0.73"/>
        <cfvo type="num" val="0.81"/>
      </iconSet>
    </cfRule>
    <cfRule type="iconSet" priority="4">
      <iconSet>
        <cfvo type="percent" val="0"/>
        <cfvo type="num" val="&quot;0.73&quot;"/>
        <cfvo type="num" val="&quot;0.81&quot;"/>
      </iconSet>
    </cfRule>
    <cfRule type="iconSet" priority="5">
      <iconSet>
        <cfvo type="percent" val="0"/>
        <cfvo type="num" val="73"/>
        <cfvo type="num" val="81"/>
      </iconSet>
    </cfRule>
    <cfRule type="iconSet" priority="6">
      <iconSet>
        <cfvo type="percent" val="0"/>
        <cfvo type="num" val="0.73"/>
        <cfvo type="num" val="0.8"/>
      </iconSet>
    </cfRule>
    <cfRule type="iconSet" priority="7">
      <iconSet>
        <cfvo type="percent" val="0"/>
        <cfvo type="num" val="&quot;0.73&quot;"/>
        <cfvo type="num" val="&quot;0.8&quot;"/>
      </iconSet>
    </cfRule>
    <cfRule type="iconSet" priority="8">
      <iconSet>
        <cfvo type="percent" val="0"/>
        <cfvo type="percent" val="33"/>
        <cfvo type="percent" val="67"/>
      </iconSet>
    </cfRule>
    <cfRule type="colorScale" priority="9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Catalina Paruma Fajardo</cp:lastModifiedBy>
  <dcterms:created xsi:type="dcterms:W3CDTF">2025-04-13T05:22:24Z</dcterms:created>
  <dcterms:modified xsi:type="dcterms:W3CDTF">2025-04-14T04:18:19Z</dcterms:modified>
</cp:coreProperties>
</file>