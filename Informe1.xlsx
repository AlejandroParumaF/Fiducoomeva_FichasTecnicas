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catap\Documents\Script Sports Bet\"/>
    </mc:Choice>
  </mc:AlternateContent>
  <xr:revisionPtr revIDLastSave="0" documentId="13_ncr:1_{D13E0148-24C5-4E17-BCE5-37A542CA6F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O8" i="1"/>
  <c r="N9" i="1"/>
  <c r="M9" i="1"/>
  <c r="O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2" i="1"/>
  <c r="I2" i="1"/>
  <c r="I3" i="1"/>
  <c r="I4" i="1"/>
  <c r="I5" i="1"/>
  <c r="I6" i="1"/>
  <c r="I7" i="1"/>
  <c r="I8" i="1"/>
  <c r="I9" i="1"/>
  <c r="P2" i="1"/>
  <c r="N3" i="1" s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O9" i="1" l="1"/>
</calcChain>
</file>

<file path=xl/sharedStrings.xml><?xml version="1.0" encoding="utf-8"?>
<sst xmlns="http://schemas.openxmlformats.org/spreadsheetml/2006/main" count="226" uniqueCount="144">
  <si>
    <t>Home</t>
  </si>
  <si>
    <t>Away</t>
  </si>
  <si>
    <t>League</t>
  </si>
  <si>
    <t>Country</t>
  </si>
  <si>
    <t>Time</t>
  </si>
  <si>
    <t>Union Magdalena</t>
  </si>
  <si>
    <t>Deportivo Pereira</t>
  </si>
  <si>
    <t>Primera A</t>
  </si>
  <si>
    <t>Colombia</t>
  </si>
  <si>
    <t>16:10</t>
  </si>
  <si>
    <t>Cerro Porteno</t>
  </si>
  <si>
    <t>Sportivo Luqueno</t>
  </si>
  <si>
    <t>Division Profesional - Apertura</t>
  </si>
  <si>
    <t>Paraguay</t>
  </si>
  <si>
    <t>16:30</t>
  </si>
  <si>
    <t>Penarol</t>
  </si>
  <si>
    <t>Miramar</t>
  </si>
  <si>
    <t>Primera División - Apertura</t>
  </si>
  <si>
    <t>Uruguay</t>
  </si>
  <si>
    <t>Palmeiras</t>
  </si>
  <si>
    <t>Corinthians</t>
  </si>
  <si>
    <t>Serie A</t>
  </si>
  <si>
    <t>Brazil</t>
  </si>
  <si>
    <t>Bolívar</t>
  </si>
  <si>
    <t>Jorge Wilstermann</t>
  </si>
  <si>
    <t>Primera División</t>
  </si>
  <si>
    <t>Bolivia</t>
  </si>
  <si>
    <t>CS Cartagines</t>
  </si>
  <si>
    <t>Perez Zeledon</t>
  </si>
  <si>
    <t>Costa-Rica</t>
  </si>
  <si>
    <t>17:00</t>
  </si>
  <si>
    <t>Barranquilla</t>
  </si>
  <si>
    <t>Bogota FC</t>
  </si>
  <si>
    <t>Primera B</t>
  </si>
  <si>
    <t>Metropolitanos FC</t>
  </si>
  <si>
    <t>UCV</t>
  </si>
  <si>
    <t>Venezuela</t>
  </si>
  <si>
    <t>Amazonas</t>
  </si>
  <si>
    <t>Ferroviária</t>
  </si>
  <si>
    <t>Serie B</t>
  </si>
  <si>
    <t>Novorizontino</t>
  </si>
  <si>
    <t>Volta Redonda</t>
  </si>
  <si>
    <t>U.N.A.M. - Pumas</t>
  </si>
  <si>
    <t>FC Juarez</t>
  </si>
  <si>
    <t>Liga MX</t>
  </si>
  <si>
    <t>Mexico</t>
  </si>
  <si>
    <t>18:00</t>
  </si>
  <si>
    <t>Leon</t>
  </si>
  <si>
    <t>Puebla</t>
  </si>
  <si>
    <t>Huila</t>
  </si>
  <si>
    <t>Internacional Palmira</t>
  </si>
  <si>
    <t>Independiente de La Chorrera</t>
  </si>
  <si>
    <t>Veraguas</t>
  </si>
  <si>
    <t>Liga Panameña de Fútbol</t>
  </si>
  <si>
    <t>Panama</t>
  </si>
  <si>
    <t>Operario-PR</t>
  </si>
  <si>
    <t>Goias</t>
  </si>
  <si>
    <t>Jalapa</t>
  </si>
  <si>
    <t>Diriangén</t>
  </si>
  <si>
    <t>Primera Division</t>
  </si>
  <si>
    <t>Nicaragua</t>
  </si>
  <si>
    <t>Olancho</t>
  </si>
  <si>
    <t>CD Marathon</t>
  </si>
  <si>
    <t>Liga Nacional</t>
  </si>
  <si>
    <t>Honduras</t>
  </si>
  <si>
    <t>18:15</t>
  </si>
  <si>
    <t>Deportivo Pasto</t>
  </si>
  <si>
    <t>Junior</t>
  </si>
  <si>
    <t>18:20</t>
  </si>
  <si>
    <t>DC United</t>
  </si>
  <si>
    <t>FC Cincinnati</t>
  </si>
  <si>
    <t>Major League Soccer</t>
  </si>
  <si>
    <t>USA</t>
  </si>
  <si>
    <t>18:30</t>
  </si>
  <si>
    <t>New York City FC</t>
  </si>
  <si>
    <t>Philadelphia Union</t>
  </si>
  <si>
    <t>Vancouver Whitecaps</t>
  </si>
  <si>
    <t>Austin</t>
  </si>
  <si>
    <t>CF Montreal</t>
  </si>
  <si>
    <t>Charlotte</t>
  </si>
  <si>
    <t>Belgrano Cordoba</t>
  </si>
  <si>
    <t>Boca Juniors</t>
  </si>
  <si>
    <t>Liga Profesional Argentina</t>
  </si>
  <si>
    <t>Argentina</t>
  </si>
  <si>
    <t>Santos DE Guapiles</t>
  </si>
  <si>
    <t>Sporting San Jose</t>
  </si>
  <si>
    <t>19:00</t>
  </si>
  <si>
    <t>A. Italiano</t>
  </si>
  <si>
    <t>O'Higgins</t>
  </si>
  <si>
    <t>Chile</t>
  </si>
  <si>
    <t>Cienciano</t>
  </si>
  <si>
    <t>Alianza Universidad</t>
  </si>
  <si>
    <t>Peru</t>
  </si>
  <si>
    <t>Vasco DA Gama</t>
  </si>
  <si>
    <t>Sport Recife</t>
  </si>
  <si>
    <t>Aurora</t>
  </si>
  <si>
    <t>San Antonio Bulo Bulo</t>
  </si>
  <si>
    <t>FC Dallas</t>
  </si>
  <si>
    <t>Seattle Sounders</t>
  </si>
  <si>
    <t>19:30</t>
  </si>
  <si>
    <t>Nashville SC</t>
  </si>
  <si>
    <t>Real Salt Lake</t>
  </si>
  <si>
    <t>Tigres UANL</t>
  </si>
  <si>
    <t>Monterrey</t>
  </si>
  <si>
    <t>20:00</t>
  </si>
  <si>
    <t>Real Estelí</t>
  </si>
  <si>
    <t>H&amp;H Export</t>
  </si>
  <si>
    <t>Atlas</t>
  </si>
  <si>
    <t>Toluca</t>
  </si>
  <si>
    <t>20:05</t>
  </si>
  <si>
    <t>Plaza Amador</t>
  </si>
  <si>
    <t>Tauro FC</t>
  </si>
  <si>
    <t>20:15</t>
  </si>
  <si>
    <t>Colorado Rapids</t>
  </si>
  <si>
    <t>San Diego</t>
  </si>
  <si>
    <t>20:30</t>
  </si>
  <si>
    <t>Real Espana</t>
  </si>
  <si>
    <t>Lobos Upnfm</t>
  </si>
  <si>
    <t>Chico</t>
  </si>
  <si>
    <t>Once Caldas</t>
  </si>
  <si>
    <t>Deportivo Saprissa</t>
  </si>
  <si>
    <t>Santa Ana</t>
  </si>
  <si>
    <t>21:00</t>
  </si>
  <si>
    <t>Los Angeles Galaxy</t>
  </si>
  <si>
    <t>Houston Dynamo</t>
  </si>
  <si>
    <t>21:30</t>
  </si>
  <si>
    <t>Los Angeles FC</t>
  </si>
  <si>
    <t>San Jose Earthquakes</t>
  </si>
  <si>
    <t>Club America</t>
  </si>
  <si>
    <t>Cruz Azul</t>
  </si>
  <si>
    <t>22:15</t>
  </si>
  <si>
    <t>% Home</t>
  </si>
  <si>
    <t>% Away</t>
  </si>
  <si>
    <t>% Draw</t>
  </si>
  <si>
    <t>Win/Draw</t>
  </si>
  <si>
    <t>Invertido</t>
  </si>
  <si>
    <t>Ganancias</t>
  </si>
  <si>
    <t>%</t>
  </si>
  <si>
    <t>Total</t>
  </si>
  <si>
    <t>Aciertos</t>
  </si>
  <si>
    <t>Color</t>
  </si>
  <si>
    <t>Rojo</t>
  </si>
  <si>
    <t>Verde &gt; 80%</t>
  </si>
  <si>
    <t>Amarillo &gt; 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</si>
</sst>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04040"/>
      <name val="Segoe U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2" fontId="5" fillId="0" borderId="1" xfId="0" applyNumberFormat="1" applyFont="1" applyBorder="1" applyAlignment="1">
      <alignment horizontal="center" vertical="top"/>
    </xf>
    <xf numFmtId="2" fontId="4" fillId="0" borderId="0" xfId="0" applyNumberFormat="1" applyFont="1"/>
    <xf numFmtId="2" fontId="0" fillId="0" borderId="0" xfId="0" applyNumberFormat="1"/>
    <xf numFmtId="0" fontId="0" fillId="2" borderId="0" xfId="0" applyFill="1"/>
    <xf numFmtId="0" fontId="0" fillId="3" borderId="0" xfId="0" applyFill="1"/>
    <xf numFmtId="9" fontId="0" fillId="0" borderId="0" xfId="1" applyFont="1"/>
    <xf numFmtId="9" fontId="5" fillId="0" borderId="2" xfId="1" applyFont="1" applyFill="1" applyBorder="1" applyAlignment="1">
      <alignment horizontal="center" vertical="top"/>
    </xf>
    <xf numFmtId="0" fontId="3" fillId="4" borderId="1" xfId="0" applyFont="1" applyFill="1" applyBorder="1"/>
    <xf numFmtId="0" fontId="0" fillId="0" borderId="1" xfId="0" applyBorder="1"/>
    <xf numFmtId="0" fontId="3" fillId="4" borderId="3" xfId="0" applyFont="1" applyFill="1" applyBorder="1"/>
    <xf numFmtId="0" fontId="0" fillId="2" borderId="1" xfId="0" applyFill="1" applyBorder="1"/>
    <xf numFmtId="9" fontId="0" fillId="2" borderId="1" xfId="1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top"/>
    </xf>
    <xf numFmtId="164" fontId="0" fillId="0" borderId="1" xfId="1" applyNumberFormat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topLeftCell="D1" zoomScale="90" zoomScaleNormal="90" workbookViewId="0">
      <selection activeCell="R9" sqref="R9"/>
    </sheetView>
  </sheetViews>
  <sheetFormatPr baseColWidth="10" defaultColWidth="8.88671875" defaultRowHeight="14.4" x14ac:dyDescent="0.3"/>
  <cols>
    <col min="1" max="1" width="25.33203125" bestFit="1" customWidth="1"/>
    <col min="2" max="2" width="19.109375" bestFit="1" customWidth="1"/>
    <col min="3" max="3" width="25.88671875" bestFit="1" customWidth="1"/>
    <col min="4" max="4" width="9.77734375" bestFit="1" customWidth="1"/>
    <col min="5" max="5" width="5.5546875" bestFit="1" customWidth="1"/>
    <col min="6" max="8" width="8.88671875" style="4"/>
    <col min="9" max="9" width="14.6640625" customWidth="1"/>
    <col min="10" max="10" width="10.33203125" style="7" customWidth="1"/>
    <col min="12" max="12" width="13.33203125" bestFit="1" customWidth="1"/>
    <col min="13" max="13" width="10.33203125" customWidth="1"/>
    <col min="14" max="14" width="9.5546875" customWidth="1"/>
    <col min="15" max="15" width="6.7773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131</v>
      </c>
      <c r="G1" s="2" t="s">
        <v>132</v>
      </c>
      <c r="H1" s="2" t="s">
        <v>133</v>
      </c>
      <c r="I1" s="2" t="s">
        <v>134</v>
      </c>
      <c r="J1" s="8" t="s">
        <v>137</v>
      </c>
    </row>
    <row r="2" spans="1:16" ht="1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s="3">
        <v>30</v>
      </c>
      <c r="G2" s="4">
        <v>32</v>
      </c>
      <c r="H2" s="4">
        <v>38</v>
      </c>
      <c r="I2" s="5" t="str">
        <f t="shared" ref="I2:I42" si="0">IF(F2+H2&lt;G2+H2,"AWAY","HOME")</f>
        <v>AWAY</v>
      </c>
      <c r="J2" s="7">
        <f>+IF((F2&gt;G2),(F2+H2)/100,(G2+H2)/100)</f>
        <v>0.7</v>
      </c>
      <c r="L2" s="15" t="s">
        <v>135</v>
      </c>
      <c r="M2" s="15" t="s">
        <v>136</v>
      </c>
      <c r="N2" s="15" t="s">
        <v>137</v>
      </c>
      <c r="P2">
        <f>100/L3</f>
        <v>0.05</v>
      </c>
    </row>
    <row r="3" spans="1:16" ht="1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3">
        <v>66</v>
      </c>
      <c r="G3" s="4">
        <v>15</v>
      </c>
      <c r="H3" s="4">
        <v>19</v>
      </c>
      <c r="I3" s="5" t="str">
        <f t="shared" si="0"/>
        <v>HOME</v>
      </c>
      <c r="J3" s="7">
        <f t="shared" ref="J3:J42" si="1">+IF((F3&gt;G3),(F3+H3)/100,(G3+H3)/100)</f>
        <v>0.85</v>
      </c>
      <c r="L3" s="10">
        <v>2000</v>
      </c>
      <c r="M3" s="12">
        <v>232</v>
      </c>
      <c r="N3" s="13">
        <f>+(P2*M3)/100</f>
        <v>0.11600000000000002</v>
      </c>
    </row>
    <row r="4" spans="1:16" ht="15" x14ac:dyDescent="0.35">
      <c r="A4" t="s">
        <v>15</v>
      </c>
      <c r="B4" t="s">
        <v>16</v>
      </c>
      <c r="C4" t="s">
        <v>17</v>
      </c>
      <c r="D4" t="s">
        <v>18</v>
      </c>
      <c r="E4" t="s">
        <v>14</v>
      </c>
      <c r="F4" s="3">
        <v>69.8</v>
      </c>
      <c r="G4" s="4">
        <v>10.1</v>
      </c>
      <c r="H4" s="4">
        <v>20.100000000000001</v>
      </c>
      <c r="I4" s="5" t="str">
        <f t="shared" si="0"/>
        <v>HOME</v>
      </c>
      <c r="J4" s="7">
        <f t="shared" si="1"/>
        <v>0.89900000000000002</v>
      </c>
    </row>
    <row r="5" spans="1:16" ht="15" x14ac:dyDescent="0.35">
      <c r="A5" t="s">
        <v>19</v>
      </c>
      <c r="B5" t="s">
        <v>20</v>
      </c>
      <c r="C5" t="s">
        <v>21</v>
      </c>
      <c r="D5" t="s">
        <v>22</v>
      </c>
      <c r="E5" t="s">
        <v>14</v>
      </c>
      <c r="F5" s="3">
        <v>51</v>
      </c>
      <c r="G5" s="4">
        <v>21</v>
      </c>
      <c r="H5" s="4">
        <v>28</v>
      </c>
      <c r="I5" s="5" t="str">
        <f t="shared" si="0"/>
        <v>HOME</v>
      </c>
      <c r="J5" s="7">
        <f t="shared" si="1"/>
        <v>0.79</v>
      </c>
      <c r="L5" s="14" t="s">
        <v>140</v>
      </c>
      <c r="M5" s="14" t="s">
        <v>138</v>
      </c>
      <c r="N5" s="14" t="s">
        <v>139</v>
      </c>
      <c r="O5" s="14" t="s">
        <v>137</v>
      </c>
    </row>
    <row r="6" spans="1:16" ht="15" x14ac:dyDescent="0.35">
      <c r="A6" t="s">
        <v>23</v>
      </c>
      <c r="B6" t="s">
        <v>24</v>
      </c>
      <c r="C6" t="s">
        <v>25</v>
      </c>
      <c r="D6" t="s">
        <v>26</v>
      </c>
      <c r="E6" t="s">
        <v>14</v>
      </c>
      <c r="F6" s="3">
        <v>72.599999999999994</v>
      </c>
      <c r="G6" s="4">
        <v>9.3000000000000007</v>
      </c>
      <c r="H6" s="4">
        <v>18.100000000000001</v>
      </c>
      <c r="I6" s="5" t="str">
        <f t="shared" si="0"/>
        <v>HOME</v>
      </c>
      <c r="J6" s="7">
        <f t="shared" si="1"/>
        <v>0.90699999999999992</v>
      </c>
      <c r="L6" s="11" t="s">
        <v>142</v>
      </c>
      <c r="M6" s="10">
        <v>12</v>
      </c>
      <c r="N6" s="10">
        <v>10</v>
      </c>
      <c r="O6" s="16">
        <f>+(100/M6)*N6/100</f>
        <v>0.83333333333333348</v>
      </c>
    </row>
    <row r="7" spans="1:16" ht="15" x14ac:dyDescent="0.35">
      <c r="A7" t="s">
        <v>27</v>
      </c>
      <c r="B7" t="s">
        <v>28</v>
      </c>
      <c r="C7" t="s">
        <v>25</v>
      </c>
      <c r="D7" t="s">
        <v>29</v>
      </c>
      <c r="E7" t="s">
        <v>30</v>
      </c>
      <c r="F7" s="3">
        <v>58</v>
      </c>
      <c r="G7" s="4">
        <v>16</v>
      </c>
      <c r="H7" s="4">
        <v>26</v>
      </c>
      <c r="I7" s="5" t="str">
        <f t="shared" si="0"/>
        <v>HOME</v>
      </c>
      <c r="J7" s="7">
        <f t="shared" si="1"/>
        <v>0.84</v>
      </c>
      <c r="L7" s="9" t="s">
        <v>143</v>
      </c>
      <c r="M7" s="10">
        <v>17</v>
      </c>
      <c r="N7" s="10">
        <v>14</v>
      </c>
      <c r="O7" s="16">
        <f>+(100/M7)*N7/100</f>
        <v>0.82352941176470595</v>
      </c>
    </row>
    <row r="8" spans="1:16" ht="15" x14ac:dyDescent="0.35">
      <c r="A8" t="s">
        <v>31</v>
      </c>
      <c r="B8" t="s">
        <v>32</v>
      </c>
      <c r="C8" t="s">
        <v>33</v>
      </c>
      <c r="D8" t="s">
        <v>8</v>
      </c>
      <c r="E8" t="s">
        <v>30</v>
      </c>
      <c r="F8" s="3">
        <v>35</v>
      </c>
      <c r="G8" s="4">
        <v>35</v>
      </c>
      <c r="H8" s="4">
        <v>30</v>
      </c>
      <c r="I8" s="5" t="str">
        <f t="shared" si="0"/>
        <v>HOME</v>
      </c>
      <c r="J8" s="7">
        <f t="shared" si="1"/>
        <v>0.65</v>
      </c>
      <c r="L8" s="9" t="s">
        <v>141</v>
      </c>
      <c r="M8" s="10">
        <v>12</v>
      </c>
      <c r="N8" s="10">
        <v>10</v>
      </c>
      <c r="O8" s="16">
        <f t="shared" ref="O8:O9" si="2">+(100/M8)*N8/100</f>
        <v>0.83333333333333348</v>
      </c>
    </row>
    <row r="9" spans="1:16" ht="15" x14ac:dyDescent="0.35">
      <c r="A9" t="s">
        <v>34</v>
      </c>
      <c r="B9" t="s">
        <v>35</v>
      </c>
      <c r="C9" t="s">
        <v>25</v>
      </c>
      <c r="D9" t="s">
        <v>36</v>
      </c>
      <c r="E9" t="s">
        <v>30</v>
      </c>
      <c r="F9" s="3">
        <v>35</v>
      </c>
      <c r="G9" s="4">
        <v>34</v>
      </c>
      <c r="H9" s="4">
        <v>31</v>
      </c>
      <c r="I9" s="6" t="str">
        <f t="shared" si="0"/>
        <v>HOME</v>
      </c>
      <c r="J9" s="7">
        <f t="shared" si="1"/>
        <v>0.66</v>
      </c>
      <c r="L9" s="9" t="s">
        <v>138</v>
      </c>
      <c r="M9" s="10">
        <f>+M6+M7+M8</f>
        <v>41</v>
      </c>
      <c r="N9" s="10">
        <f>+N6+N7+N8</f>
        <v>34</v>
      </c>
      <c r="O9" s="16">
        <f t="shared" si="2"/>
        <v>0.82926829268292679</v>
      </c>
    </row>
    <row r="10" spans="1:16" ht="15" x14ac:dyDescent="0.35">
      <c r="A10" t="s">
        <v>37</v>
      </c>
      <c r="B10" t="s">
        <v>38</v>
      </c>
      <c r="C10" t="s">
        <v>39</v>
      </c>
      <c r="D10" t="s">
        <v>22</v>
      </c>
      <c r="E10" t="s">
        <v>30</v>
      </c>
      <c r="F10" s="3">
        <v>42</v>
      </c>
      <c r="G10" s="4">
        <v>30</v>
      </c>
      <c r="H10" s="4">
        <v>28</v>
      </c>
      <c r="I10" s="5" t="str">
        <f t="shared" si="0"/>
        <v>HOME</v>
      </c>
      <c r="J10" s="7">
        <f t="shared" si="1"/>
        <v>0.7</v>
      </c>
    </row>
    <row r="11" spans="1:16" ht="15" x14ac:dyDescent="0.35">
      <c r="A11" t="s">
        <v>40</v>
      </c>
      <c r="B11" t="s">
        <v>41</v>
      </c>
      <c r="C11" t="s">
        <v>39</v>
      </c>
      <c r="D11" t="s">
        <v>22</v>
      </c>
      <c r="E11" t="s">
        <v>30</v>
      </c>
      <c r="F11" s="3">
        <v>48</v>
      </c>
      <c r="G11" s="4">
        <v>22</v>
      </c>
      <c r="H11" s="4">
        <v>30</v>
      </c>
      <c r="I11" s="5" t="str">
        <f t="shared" si="0"/>
        <v>HOME</v>
      </c>
      <c r="J11" s="7">
        <f t="shared" si="1"/>
        <v>0.78</v>
      </c>
    </row>
    <row r="12" spans="1:16" ht="15" x14ac:dyDescent="0.35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s="3">
        <v>45</v>
      </c>
      <c r="G12" s="4">
        <v>25</v>
      </c>
      <c r="H12" s="4">
        <v>30</v>
      </c>
      <c r="I12" s="5" t="str">
        <f t="shared" si="0"/>
        <v>HOME</v>
      </c>
      <c r="J12" s="7">
        <f t="shared" si="1"/>
        <v>0.75</v>
      </c>
    </row>
    <row r="13" spans="1:16" ht="15" x14ac:dyDescent="0.35">
      <c r="A13" t="s">
        <v>47</v>
      </c>
      <c r="B13" t="s">
        <v>48</v>
      </c>
      <c r="C13" t="s">
        <v>44</v>
      </c>
      <c r="D13" t="s">
        <v>45</v>
      </c>
      <c r="E13" t="s">
        <v>46</v>
      </c>
      <c r="F13" s="3">
        <v>55</v>
      </c>
      <c r="G13" s="4">
        <v>20</v>
      </c>
      <c r="H13" s="4">
        <v>25</v>
      </c>
      <c r="I13" s="5" t="str">
        <f t="shared" si="0"/>
        <v>HOME</v>
      </c>
      <c r="J13" s="7">
        <f t="shared" si="1"/>
        <v>0.8</v>
      </c>
    </row>
    <row r="14" spans="1:16" ht="15" x14ac:dyDescent="0.35">
      <c r="A14" t="s">
        <v>49</v>
      </c>
      <c r="B14" t="s">
        <v>50</v>
      </c>
      <c r="C14" t="s">
        <v>33</v>
      </c>
      <c r="D14" t="s">
        <v>8</v>
      </c>
      <c r="E14" t="s">
        <v>46</v>
      </c>
      <c r="F14" s="3">
        <v>49</v>
      </c>
      <c r="G14" s="4">
        <v>23</v>
      </c>
      <c r="H14" s="4">
        <v>28</v>
      </c>
      <c r="I14" s="5" t="str">
        <f t="shared" si="0"/>
        <v>HOME</v>
      </c>
      <c r="J14" s="7">
        <f t="shared" si="1"/>
        <v>0.77</v>
      </c>
    </row>
    <row r="15" spans="1:16" ht="15" x14ac:dyDescent="0.35">
      <c r="A15" t="s">
        <v>51</v>
      </c>
      <c r="B15" t="s">
        <v>52</v>
      </c>
      <c r="C15" t="s">
        <v>53</v>
      </c>
      <c r="D15" t="s">
        <v>54</v>
      </c>
      <c r="E15" t="s">
        <v>46</v>
      </c>
      <c r="F15" s="3">
        <v>65</v>
      </c>
      <c r="G15" s="4">
        <v>15</v>
      </c>
      <c r="H15" s="4">
        <v>20</v>
      </c>
      <c r="I15" s="6" t="str">
        <f t="shared" si="0"/>
        <v>HOME</v>
      </c>
      <c r="J15" s="7">
        <f t="shared" si="1"/>
        <v>0.85</v>
      </c>
    </row>
    <row r="16" spans="1:16" ht="15" x14ac:dyDescent="0.35">
      <c r="A16" t="s">
        <v>55</v>
      </c>
      <c r="B16" t="s">
        <v>56</v>
      </c>
      <c r="C16" t="s">
        <v>39</v>
      </c>
      <c r="D16" t="s">
        <v>22</v>
      </c>
      <c r="E16" t="s">
        <v>46</v>
      </c>
      <c r="F16" s="3">
        <v>44</v>
      </c>
      <c r="G16" s="4">
        <v>29</v>
      </c>
      <c r="H16" s="4">
        <v>27</v>
      </c>
      <c r="I16" s="6" t="str">
        <f t="shared" si="0"/>
        <v>HOME</v>
      </c>
      <c r="J16" s="7">
        <f t="shared" si="1"/>
        <v>0.71</v>
      </c>
    </row>
    <row r="17" spans="1:10" ht="15" x14ac:dyDescent="0.35">
      <c r="A17" t="s">
        <v>57</v>
      </c>
      <c r="B17" t="s">
        <v>58</v>
      </c>
      <c r="C17" t="s">
        <v>59</v>
      </c>
      <c r="D17" t="s">
        <v>60</v>
      </c>
      <c r="E17" t="s">
        <v>46</v>
      </c>
      <c r="F17" s="3">
        <v>48</v>
      </c>
      <c r="G17" s="4">
        <v>26</v>
      </c>
      <c r="H17" s="4">
        <v>26</v>
      </c>
      <c r="I17" s="5" t="str">
        <f t="shared" si="0"/>
        <v>HOME</v>
      </c>
      <c r="J17" s="7">
        <f t="shared" si="1"/>
        <v>0.74</v>
      </c>
    </row>
    <row r="18" spans="1:10" ht="15" x14ac:dyDescent="0.35">
      <c r="A18" t="s">
        <v>61</v>
      </c>
      <c r="B18" t="s">
        <v>62</v>
      </c>
      <c r="C18" t="s">
        <v>63</v>
      </c>
      <c r="D18" t="s">
        <v>64</v>
      </c>
      <c r="E18" t="s">
        <v>65</v>
      </c>
      <c r="F18" s="3">
        <v>30</v>
      </c>
      <c r="G18" s="4">
        <v>40</v>
      </c>
      <c r="H18" s="4">
        <v>30</v>
      </c>
      <c r="I18" s="5" t="str">
        <f t="shared" si="0"/>
        <v>AWAY</v>
      </c>
      <c r="J18" s="7">
        <f t="shared" si="1"/>
        <v>0.7</v>
      </c>
    </row>
    <row r="19" spans="1:10" ht="15" x14ac:dyDescent="0.35">
      <c r="A19" t="s">
        <v>66</v>
      </c>
      <c r="B19" t="s">
        <v>67</v>
      </c>
      <c r="C19" t="s">
        <v>7</v>
      </c>
      <c r="D19" t="s">
        <v>8</v>
      </c>
      <c r="E19" t="s">
        <v>68</v>
      </c>
      <c r="F19" s="3">
        <v>32</v>
      </c>
      <c r="G19" s="4">
        <v>38</v>
      </c>
      <c r="H19" s="4">
        <v>30</v>
      </c>
      <c r="I19" s="5" t="str">
        <f t="shared" si="0"/>
        <v>AWAY</v>
      </c>
      <c r="J19" s="7">
        <f t="shared" si="1"/>
        <v>0.68</v>
      </c>
    </row>
    <row r="20" spans="1:10" ht="15" x14ac:dyDescent="0.35">
      <c r="A20" t="s">
        <v>69</v>
      </c>
      <c r="B20" t="s">
        <v>70</v>
      </c>
      <c r="C20" t="s">
        <v>71</v>
      </c>
      <c r="D20" t="s">
        <v>72</v>
      </c>
      <c r="E20" t="s">
        <v>73</v>
      </c>
      <c r="F20" s="3">
        <v>30</v>
      </c>
      <c r="G20" s="4">
        <v>45</v>
      </c>
      <c r="H20" s="4">
        <v>25</v>
      </c>
      <c r="I20" s="5" t="str">
        <f t="shared" si="0"/>
        <v>AWAY</v>
      </c>
      <c r="J20" s="7">
        <f t="shared" si="1"/>
        <v>0.7</v>
      </c>
    </row>
    <row r="21" spans="1:10" ht="15" x14ac:dyDescent="0.35">
      <c r="A21" t="s">
        <v>74</v>
      </c>
      <c r="B21" t="s">
        <v>75</v>
      </c>
      <c r="C21" t="s">
        <v>71</v>
      </c>
      <c r="D21" t="s">
        <v>72</v>
      </c>
      <c r="E21" t="s">
        <v>73</v>
      </c>
      <c r="F21" s="3">
        <v>48</v>
      </c>
      <c r="G21" s="4">
        <v>27</v>
      </c>
      <c r="H21" s="4">
        <v>25</v>
      </c>
      <c r="I21" s="5" t="str">
        <f t="shared" si="0"/>
        <v>HOME</v>
      </c>
      <c r="J21" s="7">
        <f t="shared" si="1"/>
        <v>0.73</v>
      </c>
    </row>
    <row r="22" spans="1:10" ht="15" x14ac:dyDescent="0.35">
      <c r="A22" t="s">
        <v>76</v>
      </c>
      <c r="B22" t="s">
        <v>77</v>
      </c>
      <c r="C22" t="s">
        <v>71</v>
      </c>
      <c r="D22" t="s">
        <v>72</v>
      </c>
      <c r="E22" t="s">
        <v>73</v>
      </c>
      <c r="F22" s="3">
        <v>50</v>
      </c>
      <c r="G22" s="4">
        <v>26</v>
      </c>
      <c r="H22" s="4">
        <v>24</v>
      </c>
      <c r="I22" s="5" t="str">
        <f t="shared" si="0"/>
        <v>HOME</v>
      </c>
      <c r="J22" s="7">
        <f t="shared" si="1"/>
        <v>0.74</v>
      </c>
    </row>
    <row r="23" spans="1:10" ht="15" x14ac:dyDescent="0.35">
      <c r="A23" t="s">
        <v>78</v>
      </c>
      <c r="B23" t="s">
        <v>79</v>
      </c>
      <c r="C23" t="s">
        <v>71</v>
      </c>
      <c r="D23" t="s">
        <v>72</v>
      </c>
      <c r="E23" t="s">
        <v>73</v>
      </c>
      <c r="F23" s="3">
        <v>30</v>
      </c>
      <c r="G23" s="4">
        <v>40</v>
      </c>
      <c r="H23" s="4">
        <v>30</v>
      </c>
      <c r="I23" s="5" t="str">
        <f t="shared" si="0"/>
        <v>AWAY</v>
      </c>
      <c r="J23" s="7">
        <f t="shared" si="1"/>
        <v>0.7</v>
      </c>
    </row>
    <row r="24" spans="1:10" ht="15" x14ac:dyDescent="0.35">
      <c r="A24" t="s">
        <v>80</v>
      </c>
      <c r="B24" t="s">
        <v>81</v>
      </c>
      <c r="C24" t="s">
        <v>82</v>
      </c>
      <c r="D24" t="s">
        <v>83</v>
      </c>
      <c r="E24" t="s">
        <v>73</v>
      </c>
      <c r="F24" s="3">
        <v>31</v>
      </c>
      <c r="G24" s="4">
        <v>37</v>
      </c>
      <c r="H24" s="4">
        <v>32</v>
      </c>
      <c r="I24" s="5" t="str">
        <f t="shared" si="0"/>
        <v>AWAY</v>
      </c>
      <c r="J24" s="7">
        <f t="shared" si="1"/>
        <v>0.69</v>
      </c>
    </row>
    <row r="25" spans="1:10" ht="15" x14ac:dyDescent="0.35">
      <c r="A25" t="s">
        <v>84</v>
      </c>
      <c r="B25" t="s">
        <v>85</v>
      </c>
      <c r="C25" t="s">
        <v>25</v>
      </c>
      <c r="D25" t="s">
        <v>29</v>
      </c>
      <c r="E25" t="s">
        <v>86</v>
      </c>
      <c r="F25" s="3">
        <v>52</v>
      </c>
      <c r="G25" s="4">
        <v>23</v>
      </c>
      <c r="H25" s="4">
        <v>25</v>
      </c>
      <c r="I25" s="6" t="str">
        <f t="shared" si="0"/>
        <v>HOME</v>
      </c>
      <c r="J25" s="7">
        <f t="shared" si="1"/>
        <v>0.77</v>
      </c>
    </row>
    <row r="26" spans="1:10" ht="15" x14ac:dyDescent="0.35">
      <c r="A26" t="s">
        <v>87</v>
      </c>
      <c r="B26" t="s">
        <v>88</v>
      </c>
      <c r="C26" t="s">
        <v>25</v>
      </c>
      <c r="D26" t="s">
        <v>89</v>
      </c>
      <c r="E26" t="s">
        <v>86</v>
      </c>
      <c r="F26" s="3">
        <v>47</v>
      </c>
      <c r="G26" s="4">
        <v>26</v>
      </c>
      <c r="H26" s="4">
        <v>27</v>
      </c>
      <c r="I26" s="5" t="str">
        <f t="shared" si="0"/>
        <v>HOME</v>
      </c>
      <c r="J26" s="7">
        <f t="shared" si="1"/>
        <v>0.74</v>
      </c>
    </row>
    <row r="27" spans="1:10" ht="15" x14ac:dyDescent="0.35">
      <c r="A27" t="s">
        <v>90</v>
      </c>
      <c r="B27" t="s">
        <v>91</v>
      </c>
      <c r="C27" t="s">
        <v>25</v>
      </c>
      <c r="D27" t="s">
        <v>92</v>
      </c>
      <c r="E27" t="s">
        <v>86</v>
      </c>
      <c r="F27" s="3">
        <v>54</v>
      </c>
      <c r="G27" s="4">
        <v>22</v>
      </c>
      <c r="H27" s="4">
        <v>24</v>
      </c>
      <c r="I27" s="6" t="str">
        <f t="shared" si="0"/>
        <v>HOME</v>
      </c>
      <c r="J27" s="7">
        <f t="shared" si="1"/>
        <v>0.78</v>
      </c>
    </row>
    <row r="28" spans="1:10" ht="15" x14ac:dyDescent="0.35">
      <c r="A28" t="s">
        <v>93</v>
      </c>
      <c r="B28" t="s">
        <v>94</v>
      </c>
      <c r="C28" t="s">
        <v>21</v>
      </c>
      <c r="D28" t="s">
        <v>22</v>
      </c>
      <c r="E28" t="s">
        <v>86</v>
      </c>
      <c r="F28" s="3">
        <v>57</v>
      </c>
      <c r="G28" s="4">
        <v>20</v>
      </c>
      <c r="H28" s="4">
        <v>23</v>
      </c>
      <c r="I28" s="5" t="str">
        <f t="shared" si="0"/>
        <v>HOME</v>
      </c>
      <c r="J28" s="7">
        <f t="shared" si="1"/>
        <v>0.8</v>
      </c>
    </row>
    <row r="29" spans="1:10" ht="15" x14ac:dyDescent="0.35">
      <c r="A29" t="s">
        <v>95</v>
      </c>
      <c r="B29" t="s">
        <v>96</v>
      </c>
      <c r="C29" t="s">
        <v>25</v>
      </c>
      <c r="D29" t="s">
        <v>26</v>
      </c>
      <c r="E29" t="s">
        <v>86</v>
      </c>
      <c r="F29" s="3">
        <v>67</v>
      </c>
      <c r="G29" s="4">
        <v>13</v>
      </c>
      <c r="H29" s="4">
        <v>20</v>
      </c>
      <c r="I29" s="5" t="str">
        <f t="shared" si="0"/>
        <v>HOME</v>
      </c>
      <c r="J29" s="7">
        <f t="shared" si="1"/>
        <v>0.87</v>
      </c>
    </row>
    <row r="30" spans="1:10" ht="15" x14ac:dyDescent="0.35">
      <c r="A30" t="s">
        <v>97</v>
      </c>
      <c r="B30" t="s">
        <v>98</v>
      </c>
      <c r="C30" t="s">
        <v>71</v>
      </c>
      <c r="D30" t="s">
        <v>72</v>
      </c>
      <c r="E30" t="s">
        <v>99</v>
      </c>
      <c r="F30" s="3">
        <v>56.2</v>
      </c>
      <c r="G30" s="4">
        <v>18.3</v>
      </c>
      <c r="H30" s="4">
        <v>25.5</v>
      </c>
      <c r="I30" s="6" t="str">
        <f t="shared" si="0"/>
        <v>HOME</v>
      </c>
      <c r="J30" s="7">
        <f t="shared" si="1"/>
        <v>0.81700000000000006</v>
      </c>
    </row>
    <row r="31" spans="1:10" ht="15" x14ac:dyDescent="0.35">
      <c r="A31" t="s">
        <v>100</v>
      </c>
      <c r="B31" t="s">
        <v>101</v>
      </c>
      <c r="C31" t="s">
        <v>71</v>
      </c>
      <c r="D31" t="s">
        <v>72</v>
      </c>
      <c r="E31" t="s">
        <v>99</v>
      </c>
      <c r="F31" s="3">
        <v>47.5</v>
      </c>
      <c r="G31" s="4">
        <v>24.8</v>
      </c>
      <c r="H31" s="4">
        <v>27.7</v>
      </c>
      <c r="I31" s="5" t="str">
        <f t="shared" si="0"/>
        <v>HOME</v>
      </c>
      <c r="J31" s="7">
        <f t="shared" si="1"/>
        <v>0.752</v>
      </c>
    </row>
    <row r="32" spans="1:10" ht="15" x14ac:dyDescent="0.35">
      <c r="A32" t="s">
        <v>102</v>
      </c>
      <c r="B32" t="s">
        <v>103</v>
      </c>
      <c r="C32" t="s">
        <v>44</v>
      </c>
      <c r="D32" t="s">
        <v>45</v>
      </c>
      <c r="E32" t="s">
        <v>104</v>
      </c>
      <c r="F32" s="3">
        <v>52</v>
      </c>
      <c r="G32" s="4">
        <v>25</v>
      </c>
      <c r="H32" s="4">
        <v>23</v>
      </c>
      <c r="I32" s="5" t="str">
        <f t="shared" si="0"/>
        <v>HOME</v>
      </c>
      <c r="J32" s="7">
        <f t="shared" si="1"/>
        <v>0.75</v>
      </c>
    </row>
    <row r="33" spans="1:10" ht="15" x14ac:dyDescent="0.35">
      <c r="A33" t="s">
        <v>105</v>
      </c>
      <c r="B33" t="s">
        <v>106</v>
      </c>
      <c r="C33" t="s">
        <v>59</v>
      </c>
      <c r="D33" t="s">
        <v>60</v>
      </c>
      <c r="E33" t="s">
        <v>104</v>
      </c>
      <c r="F33" s="3">
        <v>68</v>
      </c>
      <c r="G33" s="4">
        <v>14</v>
      </c>
      <c r="H33" s="4">
        <v>18</v>
      </c>
      <c r="I33" s="5" t="str">
        <f t="shared" si="0"/>
        <v>HOME</v>
      </c>
      <c r="J33" s="7">
        <f t="shared" si="1"/>
        <v>0.86</v>
      </c>
    </row>
    <row r="34" spans="1:10" ht="15" x14ac:dyDescent="0.35">
      <c r="A34" t="s">
        <v>107</v>
      </c>
      <c r="B34" t="s">
        <v>108</v>
      </c>
      <c r="C34" t="s">
        <v>44</v>
      </c>
      <c r="D34" t="s">
        <v>45</v>
      </c>
      <c r="E34" t="s">
        <v>109</v>
      </c>
      <c r="F34" s="3">
        <v>30</v>
      </c>
      <c r="G34" s="4">
        <v>40</v>
      </c>
      <c r="H34" s="4">
        <v>30</v>
      </c>
      <c r="I34" s="5" t="str">
        <f t="shared" si="0"/>
        <v>AWAY</v>
      </c>
      <c r="J34" s="7">
        <f t="shared" si="1"/>
        <v>0.7</v>
      </c>
    </row>
    <row r="35" spans="1:10" ht="15" x14ac:dyDescent="0.35">
      <c r="A35" t="s">
        <v>110</v>
      </c>
      <c r="B35" t="s">
        <v>111</v>
      </c>
      <c r="C35" t="s">
        <v>53</v>
      </c>
      <c r="D35" t="s">
        <v>54</v>
      </c>
      <c r="E35" t="s">
        <v>112</v>
      </c>
      <c r="F35" s="3">
        <v>50</v>
      </c>
      <c r="G35" s="4">
        <v>25</v>
      </c>
      <c r="H35" s="4">
        <v>25</v>
      </c>
      <c r="I35" s="6" t="str">
        <f t="shared" si="0"/>
        <v>HOME</v>
      </c>
      <c r="J35" s="7">
        <f t="shared" si="1"/>
        <v>0.75</v>
      </c>
    </row>
    <row r="36" spans="1:10" ht="15" x14ac:dyDescent="0.35">
      <c r="A36" t="s">
        <v>113</v>
      </c>
      <c r="B36" t="s">
        <v>114</v>
      </c>
      <c r="C36" t="s">
        <v>71</v>
      </c>
      <c r="D36" t="s">
        <v>72</v>
      </c>
      <c r="E36" t="s">
        <v>115</v>
      </c>
      <c r="F36" s="3">
        <v>44.1</v>
      </c>
      <c r="G36" s="4">
        <v>26.9</v>
      </c>
      <c r="H36" s="4">
        <v>29</v>
      </c>
      <c r="I36" s="5" t="str">
        <f t="shared" si="0"/>
        <v>HOME</v>
      </c>
      <c r="J36" s="7">
        <f t="shared" si="1"/>
        <v>0.73099999999999998</v>
      </c>
    </row>
    <row r="37" spans="1:10" ht="15" x14ac:dyDescent="0.35">
      <c r="A37" t="s">
        <v>116</v>
      </c>
      <c r="B37" t="s">
        <v>117</v>
      </c>
      <c r="C37" t="s">
        <v>63</v>
      </c>
      <c r="D37" t="s">
        <v>64</v>
      </c>
      <c r="E37" t="s">
        <v>115</v>
      </c>
      <c r="F37" s="3">
        <v>60.2</v>
      </c>
      <c r="G37" s="4">
        <v>16.3</v>
      </c>
      <c r="H37" s="4">
        <v>23.5</v>
      </c>
      <c r="I37" s="5" t="str">
        <f t="shared" si="0"/>
        <v>HOME</v>
      </c>
      <c r="J37" s="7">
        <f t="shared" si="1"/>
        <v>0.83700000000000008</v>
      </c>
    </row>
    <row r="38" spans="1:10" ht="15" x14ac:dyDescent="0.35">
      <c r="A38" t="s">
        <v>118</v>
      </c>
      <c r="B38" t="s">
        <v>119</v>
      </c>
      <c r="C38" t="s">
        <v>7</v>
      </c>
      <c r="D38" t="s">
        <v>8</v>
      </c>
      <c r="E38" t="s">
        <v>115</v>
      </c>
      <c r="F38" s="3">
        <v>28.9</v>
      </c>
      <c r="G38" s="4">
        <v>38.299999999999997</v>
      </c>
      <c r="H38" s="4">
        <v>32.799999999999997</v>
      </c>
      <c r="I38" s="5" t="str">
        <f t="shared" si="0"/>
        <v>AWAY</v>
      </c>
      <c r="J38" s="7">
        <f t="shared" si="1"/>
        <v>0.71099999999999997</v>
      </c>
    </row>
    <row r="39" spans="1:10" ht="15" x14ac:dyDescent="0.35">
      <c r="A39" t="s">
        <v>120</v>
      </c>
      <c r="B39" t="s">
        <v>121</v>
      </c>
      <c r="C39" t="s">
        <v>25</v>
      </c>
      <c r="D39" t="s">
        <v>29</v>
      </c>
      <c r="E39" t="s">
        <v>122</v>
      </c>
      <c r="F39" s="3">
        <v>68</v>
      </c>
      <c r="G39" s="4">
        <v>14</v>
      </c>
      <c r="H39" s="4">
        <v>18</v>
      </c>
      <c r="I39" s="5" t="str">
        <f t="shared" si="0"/>
        <v>HOME</v>
      </c>
      <c r="J39" s="7">
        <f t="shared" si="1"/>
        <v>0.86</v>
      </c>
    </row>
    <row r="40" spans="1:10" ht="15" x14ac:dyDescent="0.35">
      <c r="A40" t="s">
        <v>123</v>
      </c>
      <c r="B40" t="s">
        <v>124</v>
      </c>
      <c r="C40" t="s">
        <v>71</v>
      </c>
      <c r="D40" t="s">
        <v>72</v>
      </c>
      <c r="E40" t="s">
        <v>125</v>
      </c>
      <c r="F40" s="3">
        <v>52</v>
      </c>
      <c r="G40" s="4">
        <v>25</v>
      </c>
      <c r="H40" s="4">
        <v>23</v>
      </c>
      <c r="I40" s="5" t="str">
        <f t="shared" si="0"/>
        <v>HOME</v>
      </c>
      <c r="J40" s="7">
        <f t="shared" si="1"/>
        <v>0.75</v>
      </c>
    </row>
    <row r="41" spans="1:10" ht="15" x14ac:dyDescent="0.35">
      <c r="A41" t="s">
        <v>126</v>
      </c>
      <c r="B41" t="s">
        <v>127</v>
      </c>
      <c r="C41" t="s">
        <v>71</v>
      </c>
      <c r="D41" t="s">
        <v>72</v>
      </c>
      <c r="E41" t="s">
        <v>125</v>
      </c>
      <c r="F41" s="3">
        <v>63</v>
      </c>
      <c r="G41" s="4">
        <v>22</v>
      </c>
      <c r="H41" s="4">
        <v>15</v>
      </c>
      <c r="I41" s="5" t="str">
        <f t="shared" si="0"/>
        <v>HOME</v>
      </c>
      <c r="J41" s="7">
        <f t="shared" si="1"/>
        <v>0.78</v>
      </c>
    </row>
    <row r="42" spans="1:10" ht="15" x14ac:dyDescent="0.35">
      <c r="A42" t="s">
        <v>128</v>
      </c>
      <c r="B42" t="s">
        <v>129</v>
      </c>
      <c r="C42" t="s">
        <v>44</v>
      </c>
      <c r="D42" t="s">
        <v>45</v>
      </c>
      <c r="E42" t="s">
        <v>130</v>
      </c>
      <c r="F42" s="3">
        <v>48</v>
      </c>
      <c r="G42" s="4">
        <v>26</v>
      </c>
      <c r="H42" s="4">
        <v>26</v>
      </c>
      <c r="I42" s="5" t="str">
        <f t="shared" si="0"/>
        <v>HOME</v>
      </c>
      <c r="J42" s="7">
        <f t="shared" si="1"/>
        <v>0.74</v>
      </c>
    </row>
  </sheetData>
  <conditionalFormatting sqref="J1:J1048576">
    <cfRule type="iconSet" priority="1">
      <iconSet>
        <cfvo type="percent" val="0"/>
        <cfvo type="num" val="0.72"/>
        <cfvo type="num" val="0.8"/>
      </iconSet>
    </cfRule>
    <cfRule type="iconSet" priority="2">
      <iconSet>
        <cfvo type="percent" val="0"/>
        <cfvo type="num" val="0.71"/>
        <cfvo type="num" val="0.8"/>
      </iconSet>
    </cfRule>
    <cfRule type="iconSet" priority="3">
      <iconSet>
        <cfvo type="percent" val="0"/>
        <cfvo type="num" val="0.7"/>
        <cfvo type="num" val="0.8"/>
      </iconSet>
    </cfRule>
    <cfRule type="iconSet" priority="4">
      <iconSet>
        <cfvo type="percent" val="0"/>
        <cfvo type="num" val="70"/>
        <cfvo type="num" val="80"/>
      </iconSet>
    </cfRule>
    <cfRule type="iconSet" priority="5">
      <iconSet>
        <cfvo type="percent" val="0"/>
        <cfvo type="percent" val="30"/>
        <cfvo type="percent" val="60"/>
      </iconSet>
    </cfRule>
    <cfRule type="iconSet" priority="6">
      <iconSet>
        <cfvo type="percent" val="0"/>
        <cfvo type="percent" val="33"/>
        <cfvo type="percent" val="60"/>
      </iconSet>
    </cfRule>
    <cfRule type="iconSet" priority="7">
      <iconSet>
        <cfvo type="percent" val="0"/>
        <cfvo type="percent" val="33"/>
        <cfvo type="percent" val="67"/>
      </iconSet>
    </cfRule>
    <cfRule type="colorScale" priority="8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Catalina Paruma Fajardo</cp:lastModifiedBy>
  <dcterms:created xsi:type="dcterms:W3CDTF">2025-04-12T21:07:19Z</dcterms:created>
  <dcterms:modified xsi:type="dcterms:W3CDTF">2025-04-14T03:15:03Z</dcterms:modified>
</cp:coreProperties>
</file>